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Biodiversité\Projets scientifiques\Loutre\ADN Epreintes\"/>
    </mc:Choice>
  </mc:AlternateContent>
  <bookViews>
    <workbookView xWindow="0" yWindow="0" windowWidth="28800" windowHeight="12300" tabRatio="697"/>
  </bookViews>
  <sheets>
    <sheet name="Table des Matières" sheetId="49" r:id="rId1"/>
    <sheet name="Lien carto" sheetId="201" r:id="rId2"/>
    <sheet name="Lez Amont-231121-LEZ-01 (1)" sheetId="202" r:id="rId3"/>
    <sheet name="Lez Amont-231121-LEZ-01-B (2)" sheetId="203" r:id="rId4"/>
    <sheet name="Lez Amont-231211-LEZ-08 (13)" sheetId="204" r:id="rId5"/>
    <sheet name="Lez Amont-231211-LEZ-08-B (14)" sheetId="205" r:id="rId6"/>
    <sheet name="Tanneries-231128-LEZ-02 (3)" sheetId="206" r:id="rId7"/>
    <sheet name="Tanneries-231206-LEZ-06 (7)" sheetId="207" r:id="rId8"/>
    <sheet name="Tanneries-231206-LEZ-06-Bis (8)" sheetId="208" r:id="rId9"/>
    <sheet name="Tanneries-231206-LEZ-06-Ter (9)" sheetId="209" r:id="rId10"/>
    <sheet name="Lavalette-231129-LEZ-03 (4)" sheetId="210" r:id="rId11"/>
    <sheet name="Clinique-231130-LEZ-04 (5)" sheetId="211" r:id="rId12"/>
    <sheet name="Clinique-231207-LEZ-07 (10) " sheetId="212" r:id="rId13"/>
    <sheet name="Clinique-231207-LEZ-07-Bis (11)" sheetId="213" r:id="rId14"/>
    <sheet name="Clinique-231207-LEZ-07-Ter (12)" sheetId="214" r:id="rId15"/>
    <sheet name="HdR-231201-LEZ-05 (6)" sheetId="215" r:id="rId16"/>
    <sheet name="HdR-231214-LEZ-09 (15)" sheetId="216" r:id="rId17"/>
    <sheet name="Lez Aval-231228-LEZ-11 (17)" sheetId="217" r:id="rId18"/>
    <sheet name="Lez Aval-231228-LEZ-11-B (18)" sheetId="218" r:id="rId19"/>
    <sheet name="Lirou-231221-LIROU-10 (16)" sheetId="219" r:id="rId20"/>
  </sheets>
  <definedNames>
    <definedName name="Liste_feuilles">"'=REPLACE(GET. WORKBOOK(1),1, FIND(""]"",GET. WORKBOOK(1)), »"")"</definedName>
    <definedName name="nom_onglets">GET.WORKBOOK(1)</definedName>
    <definedName name="Sommaire">GET.WORKBOOK(1)</definedName>
    <definedName name="Tabledesmatières">GET.WORKBOOK(1)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<sst xmlns="http://schemas.openxmlformats.org/spreadsheetml/2006/main" count="128" uniqueCount="68">
  <si>
    <t>http://u.osmfr.org/m/980627/</t>
  </si>
  <si>
    <t>Squalius cephalus</t>
  </si>
  <si>
    <t>Cottus sp</t>
  </si>
  <si>
    <t>Siphonostomatoida</t>
  </si>
  <si>
    <t>Phoxinus phoxinus</t>
  </si>
  <si>
    <t>Alburnoides ohridanus</t>
  </si>
  <si>
    <t>Barbatula quignardi</t>
  </si>
  <si>
    <t>Chondrostoma sp</t>
  </si>
  <si>
    <t>Gobio gobio</t>
  </si>
  <si>
    <t>Rutilus rutilus</t>
  </si>
  <si>
    <t>Tinca tinca</t>
  </si>
  <si>
    <t>Atyaephyra desmarestii</t>
  </si>
  <si>
    <t>Perca fluviatilis</t>
  </si>
  <si>
    <t>Phragmophora</t>
  </si>
  <si>
    <t>Vulpes vulpes</t>
  </si>
  <si>
    <t>Gallus gallus</t>
  </si>
  <si>
    <t>Harpacticoida</t>
  </si>
  <si>
    <t>Cricotopus</t>
  </si>
  <si>
    <t>Cyprinus carpio</t>
  </si>
  <si>
    <t>Anguilla anguilla</t>
  </si>
  <si>
    <t>Barbus barbus</t>
  </si>
  <si>
    <t>Paguridae</t>
  </si>
  <si>
    <t>Gallus_gallus</t>
  </si>
  <si>
    <t>Atherina boyeri</t>
  </si>
  <si>
    <t>Telestes</t>
  </si>
  <si>
    <t>Lien carto</t>
  </si>
  <si>
    <t>Lez Amont-231121-LEZ-01 (1)</t>
  </si>
  <si>
    <t>Lez Amont-231121-LEZ-01-B (2)</t>
  </si>
  <si>
    <t>Lez Amont-231211-LEZ-08 (13)</t>
  </si>
  <si>
    <t>Lez Amont-231211-LEZ-08-B (14)</t>
  </si>
  <si>
    <t>Tanneries-231128-LEZ-02 (3)</t>
  </si>
  <si>
    <t>Tanneries-231206-LEZ-06 (7)</t>
  </si>
  <si>
    <t>Tanneries-231206-LEZ-06-Bis (8)</t>
  </si>
  <si>
    <t>Tanneries-231206-LEZ-06-Ter (9)</t>
  </si>
  <si>
    <t>Lavalette-231129-LEZ-03 (4)</t>
  </si>
  <si>
    <t>Clinique-231130-LEZ-04 (5)</t>
  </si>
  <si>
    <t xml:space="preserve">Clinique-231207-LEZ-07 (10) </t>
  </si>
  <si>
    <t>Clinique-231207-LEZ-07-Bis (11)</t>
  </si>
  <si>
    <t>Clinique-231207-LEZ-07-Ter (12)</t>
  </si>
  <si>
    <t>HdR-231201-LEZ-05 (6)</t>
  </si>
  <si>
    <t>HdR-231214-LEZ-09 (15)</t>
  </si>
  <si>
    <t>Lez Aval-231228-LEZ-11 (17)</t>
  </si>
  <si>
    <t>Lez Aval-231228-LEZ-11-B (18)</t>
  </si>
  <si>
    <t>Lirou-231221-LIROU-10 (16)</t>
  </si>
  <si>
    <t>Lez Amont</t>
  </si>
  <si>
    <t>Tanneries</t>
  </si>
  <si>
    <t>Lavalette</t>
  </si>
  <si>
    <t>Lez Aval</t>
  </si>
  <si>
    <t>Lirou</t>
  </si>
  <si>
    <t>Clinique du Parc</t>
  </si>
  <si>
    <t>Hôtel de Région</t>
  </si>
  <si>
    <t>Gambusia holbrooki *</t>
  </si>
  <si>
    <t>Gammarus tigrinus *</t>
  </si>
  <si>
    <t>Lepomis gibbosus *</t>
  </si>
  <si>
    <t>Procambarus clarkii *</t>
  </si>
  <si>
    <t>Pseudorasbora parva *</t>
  </si>
  <si>
    <t>Silurus glanis *</t>
  </si>
  <si>
    <t xml:space="preserve">Carassius sp </t>
  </si>
  <si>
    <t>Carassius sp *</t>
  </si>
  <si>
    <t>Carassius sp*</t>
  </si>
  <si>
    <t>Silurus glanis*</t>
  </si>
  <si>
    <t>Chondrostoma nasus*</t>
  </si>
  <si>
    <t>Procambarus_clarkii*</t>
  </si>
  <si>
    <t>Lepomis gibbosus*</t>
  </si>
  <si>
    <t>Procambarus clarkii*</t>
  </si>
  <si>
    <t>Pseudorasbora parva*</t>
  </si>
  <si>
    <t>Gambusia holbrooki*</t>
  </si>
  <si>
    <t>Chondrostoma nasus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</si>
</sst>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Border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8E7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Lez Amont / </a:t>
            </a:r>
            <a:r>
              <a:rPr lang="fr-FR" sz="1200" b="1" i="0" u="none" strike="noStrike" cap="all" baseline="0">
                <a:effectLst/>
              </a:rPr>
              <a:t>231121-LEZ-01 (1)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899-462F-8468-617033E7E5EC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6899-462F-8468-617033E7E5E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Amont-231121-LEZ-01 (1)'!$A$1</c:f>
              <c:strCache>
                <c:ptCount val="1"/>
                <c:pt idx="0">
                  <c:v>Squalius cephalus</c:v>
                </c:pt>
              </c:strCache>
            </c:strRef>
          </c:cat>
          <c:val>
            <c:numRef>
              <c:f>'Lez Amont-231121-LEZ-01 (1)'!$B$1</c:f>
              <c:numCache>
                <c:formatCode>General</c:formatCode>
                <c:ptCount val="1"/>
                <c:pt idx="0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99-462F-8468-617033E7E5E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cap="all" baseline="0">
                <a:effectLst/>
              </a:rPr>
              <a:t>Lez Amont / 231121-LEZ-01-Bis (2) - attention interprétation car peu de séquences ADN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B4-4F8C-8DDE-598282E82F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B4-4F8C-8DDE-598282E82F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B4-4F8C-8DDE-598282E82F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5B4-4F8C-8DDE-598282E82F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B4-4F8C-8DDE-598282E82F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5B4-4F8C-8DDE-598282E82F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5B4-4F8C-8DDE-598282E82F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5B4-4F8C-8DDE-598282E82F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5B4-4F8C-8DDE-598282E82F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5B4-4F8C-8DDE-598282E82F1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5B4-4F8C-8DDE-598282E82F1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5B4-4F8C-8DDE-598282E82F1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5B4-4F8C-8DDE-598282E82F1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85B4-4F8C-8DDE-598282E82F15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5B4-4F8C-8DDE-598282E82F15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5B4-4F8C-8DDE-598282E82F15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85B4-4F8C-8DDE-598282E82F15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5B4-4F8C-8DDE-598282E82F15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85B4-4F8C-8DDE-598282E82F15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85B4-4F8C-8DDE-598282E82F15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85B4-4F8C-8DDE-598282E82F15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85B4-4F8C-8DDE-598282E82F15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85B4-4F8C-8DDE-598282E82F15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85B4-4F8C-8DDE-598282E82F15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85B4-4F8C-8DDE-598282E82F15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85B4-4F8C-8DDE-598282E82F15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85B4-4F8C-8DDE-598282E82F15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85B4-4F8C-8DDE-598282E82F1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Amont-231121-LEZ-01-B (2)'!$A$1:$A$14</c:f>
              <c:strCache>
                <c:ptCount val="3"/>
                <c:pt idx="0">
                  <c:v>Squalius cephalus</c:v>
                </c:pt>
                <c:pt idx="1">
                  <c:v>Cottus sp</c:v>
                </c:pt>
                <c:pt idx="2">
                  <c:v>Siphonostomatoida</c:v>
                </c:pt>
              </c:strCache>
            </c:strRef>
          </c:cat>
          <c:val>
            <c:numRef>
              <c:f>'Lez Amont-231121-LEZ-01-B (2)'!$B$1:$B$14</c:f>
              <c:numCache>
                <c:formatCode>General</c:formatCode>
                <c:ptCount val="14"/>
                <c:pt idx="0">
                  <c:v>22.449000000000002</c:v>
                </c:pt>
                <c:pt idx="1">
                  <c:v>18.3673</c:v>
                </c:pt>
                <c:pt idx="2">
                  <c:v>18.3673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5B4-4F8C-8DDE-598282E82F1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Lez Amont / </a:t>
            </a:r>
            <a:r>
              <a:rPr lang="fr-FR" sz="1200" b="1" i="0" u="none" strike="noStrike" cap="all" baseline="0">
                <a:effectLst/>
              </a:rPr>
              <a:t>231211-LEZ-08 (13)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12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265-4AE5-8792-3DF9F71844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265-4AE5-8792-3DF9F71844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265-4AE5-8792-3DF9F71844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265-4AE5-8792-3DF9F71844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265-4AE5-8792-3DF9F71844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265-4AE5-8792-3DF9F71844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265-4AE5-8792-3DF9F71844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265-4AE5-8792-3DF9F718442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265-4AE5-8792-3DF9F718442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265-4AE5-8792-3DF9F718442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265-4AE5-8792-3DF9F718442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265-4AE5-8792-3DF9F718442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265-4AE5-8792-3DF9F718442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265-4AE5-8792-3DF9F7184421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265-4AE5-8792-3DF9F7184421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265-4AE5-8792-3DF9F7184421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265-4AE5-8792-3DF9F7184421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265-4AE5-8792-3DF9F7184421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9265-4AE5-8792-3DF9F7184421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9265-4AE5-8792-3DF9F7184421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9265-4AE5-8792-3DF9F7184421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9265-4AE5-8792-3DF9F7184421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9265-4AE5-8792-3DF9F7184421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9265-4AE5-8792-3DF9F7184421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9265-4AE5-8792-3DF9F7184421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9265-4AE5-8792-3DF9F7184421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9265-4AE5-8792-3DF9F7184421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9265-4AE5-8792-3DF9F718442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Amont-231211-LEZ-08 (13)'!$A$1:$A$14</c:f>
              <c:strCache>
                <c:ptCount val="6"/>
                <c:pt idx="0">
                  <c:v>Phoxinus phoxinus</c:v>
                </c:pt>
                <c:pt idx="1">
                  <c:v>Cottus sp</c:v>
                </c:pt>
                <c:pt idx="2">
                  <c:v>Chondrostoma nasus*</c:v>
                </c:pt>
                <c:pt idx="3">
                  <c:v>Alburnoides ohridanus</c:v>
                </c:pt>
                <c:pt idx="4">
                  <c:v>Barbatula quignardi</c:v>
                </c:pt>
                <c:pt idx="5">
                  <c:v>Siphonostomatoida</c:v>
                </c:pt>
              </c:strCache>
            </c:strRef>
          </c:cat>
          <c:val>
            <c:numRef>
              <c:f>'Lez Amont-231211-LEZ-08 (13)'!$B$1:$B$14</c:f>
              <c:numCache>
                <c:formatCode>General</c:formatCode>
                <c:ptCount val="14"/>
                <c:pt idx="0">
                  <c:v>79.154899999999998</c:v>
                </c:pt>
                <c:pt idx="1">
                  <c:v>3.9436599999999999</c:v>
                </c:pt>
                <c:pt idx="2">
                  <c:v>3.0985900000000002</c:v>
                </c:pt>
                <c:pt idx="3">
                  <c:v>3.0985900000000002</c:v>
                </c:pt>
                <c:pt idx="4">
                  <c:v>1.40845</c:v>
                </c:pt>
                <c:pt idx="5">
                  <c:v>3.9436599999999999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265-4AE5-8792-3DF9F718442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Lez Amont / </a:t>
            </a:r>
            <a:r>
              <a:rPr lang="fr-FR" sz="1200" b="1" i="0" u="none" strike="noStrike" cap="all" baseline="0">
                <a:effectLst/>
              </a:rPr>
              <a:t>231211-LEZ-08-Bis (14) -</a:t>
            </a:r>
            <a:r>
              <a:rPr lang="fr-FR" sz="1600" b="1" i="0" u="none" strike="noStrike" cap="all" baseline="0">
                <a:effectLst/>
              </a:rPr>
              <a:t> </a:t>
            </a:r>
            <a:r>
              <a:rPr lang="fr-FR" sz="1200" b="1" i="0" u="none" strike="noStrike" cap="all" baseline="0">
                <a:effectLst/>
              </a:rPr>
              <a:t>attention interprétation car peu de séquences ADN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5E-4E31-87CD-DD85062774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5E-4E31-87CD-DD85062774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85E-4E31-87CD-DD85062774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5E-4E31-87CD-DD85062774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85E-4E31-87CD-DD85062774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85E-4E31-87CD-DD850627744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85E-4E31-87CD-DD850627744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85E-4E31-87CD-DD850627744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85E-4E31-87CD-DD850627744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85E-4E31-87CD-DD850627744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85E-4E31-87CD-DD850627744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85E-4E31-87CD-DD850627744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85E-4E31-87CD-DD850627744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85E-4E31-87CD-DD850627744F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85E-4E31-87CD-DD850627744F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85E-4E31-87CD-DD850627744F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85E-4E31-87CD-DD850627744F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85E-4E31-87CD-DD850627744F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85E-4E31-87CD-DD850627744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85E-4E31-87CD-DD850627744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85E-4E31-87CD-DD850627744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C85E-4E31-87CD-DD850627744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85E-4E31-87CD-DD850627744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C85E-4E31-87CD-DD850627744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85E-4E31-87CD-DD850627744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85E-4E31-87CD-DD850627744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85E-4E31-87CD-DD850627744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C85E-4E31-87CD-DD850627744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Amont-231211-LEZ-08-B (14)'!$A$1:$A$14</c:f>
              <c:strCache>
                <c:ptCount val="1"/>
                <c:pt idx="0">
                  <c:v>Chondrostoma sp</c:v>
                </c:pt>
              </c:strCache>
            </c:strRef>
          </c:cat>
          <c:val>
            <c:numRef>
              <c:f>'Lez Amont-231211-LEZ-08-B (14)'!$B$1:$B$14</c:f>
              <c:numCache>
                <c:formatCode>General</c:formatCode>
                <c:ptCount val="14"/>
                <c:pt idx="0">
                  <c:v>31.25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5E-4E31-87CD-DD850627744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231128-LEZ-02 (3)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19-4383-8E2E-28B98B2AA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19-4383-8E2E-28B98B2AA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19-4383-8E2E-28B98B2AA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19-4383-8E2E-28B98B2AA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19-4383-8E2E-28B98B2AA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E19-4383-8E2E-28B98B2AA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E19-4383-8E2E-28B98B2AA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E19-4383-8E2E-28B98B2AA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E19-4383-8E2E-28B98B2AA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E19-4383-8E2E-28B98B2AA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E19-4383-8E2E-28B98B2AA0E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E19-4383-8E2E-28B98B2AA0E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E19-4383-8E2E-28B98B2AA0E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E19-4383-8E2E-28B98B2AA0EF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E19-4383-8E2E-28B98B2AA0EF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E19-4383-8E2E-28B98B2AA0EF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E19-4383-8E2E-28B98B2AA0EF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E19-4383-8E2E-28B98B2AA0EF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9E19-4383-8E2E-28B98B2AA0E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9E19-4383-8E2E-28B98B2AA0E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9E19-4383-8E2E-28B98B2AA0E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9E19-4383-8E2E-28B98B2AA0E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9E19-4383-8E2E-28B98B2AA0E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9E19-4383-8E2E-28B98B2AA0E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9E19-4383-8E2E-28B98B2AA0E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9E19-4383-8E2E-28B98B2AA0E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9E19-4383-8E2E-28B98B2AA0E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9E19-4383-8E2E-28B98B2AA0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'Tanneries-231128-LEZ-02 (3)'!$A$1:$A$14</c:f>
              <c:strCache>
                <c:ptCount val="3"/>
                <c:pt idx="0">
                  <c:v>Gobio gobio</c:v>
                </c:pt>
                <c:pt idx="1">
                  <c:v>Carassius sp*</c:v>
                </c:pt>
                <c:pt idx="2">
                  <c:v>Procambarus_clarkii*</c:v>
                </c:pt>
              </c:strCache>
            </c:strRef>
          </c:cat>
          <c:val>
            <c:numRef>
              <c:f>'Tanneries-231128-LEZ-02 (3)'!$B$1:$B$14</c:f>
              <c:numCache>
                <c:formatCode>General</c:formatCode>
                <c:ptCount val="14"/>
                <c:pt idx="0">
                  <c:v>63.855400000000003</c:v>
                </c:pt>
                <c:pt idx="1">
                  <c:v>6.0240999999999998</c:v>
                </c:pt>
                <c:pt idx="2">
                  <c:v>10.843400000000001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19-4383-8E2E-28B98B2AA0E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231206-LEZ-06 (7)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B1-43BF-8186-291601A379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B1-43BF-8186-291601A379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B1-43BF-8186-291601A379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B1-43BF-8186-291601A379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B1-43BF-8186-291601A379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B1-43BF-8186-291601A379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AB1-43BF-8186-291601A3798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AB1-43BF-8186-291601A3798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AB1-43BF-8186-291601A3798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AB1-43BF-8186-291601A3798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AB1-43BF-8186-291601A3798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AB1-43BF-8186-291601A3798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AB1-43BF-8186-291601A3798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AB1-43BF-8186-291601A37987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AB1-43BF-8186-291601A37987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AB1-43BF-8186-291601A37987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AB1-43BF-8186-291601A37987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AB1-43BF-8186-291601A37987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AB1-43BF-8186-291601A37987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AB1-43BF-8186-291601A37987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AB1-43BF-8186-291601A37987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CAB1-43BF-8186-291601A37987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AB1-43BF-8186-291601A37987}"/>
                </c:ext>
              </c:extLst>
            </c:dLbl>
            <c:dLbl>
              <c:idx val="9"/>
              <c:layout>
                <c:manualLayout>
                  <c:x val="5.5793991416308905E-2"/>
                  <c:y val="-1.736834046113997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974789631982703E-2"/>
                      <c:h val="7.167963905908639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AB1-43BF-8186-291601A37987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AB1-43BF-8186-291601A37987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AB1-43BF-8186-291601A37987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AB1-43BF-8186-291601A37987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CAB1-43BF-8186-291601A3798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'Tanneries-231206-LEZ-06 (7)'!$A$1:$A$14</c:f>
              <c:strCache>
                <c:ptCount val="10"/>
                <c:pt idx="0">
                  <c:v>Chondrostoma nasus*</c:v>
                </c:pt>
                <c:pt idx="1">
                  <c:v>Barbatula quignardi</c:v>
                </c:pt>
                <c:pt idx="3">
                  <c:v>Cottus sp</c:v>
                </c:pt>
                <c:pt idx="4">
                  <c:v>Gobio gobio</c:v>
                </c:pt>
                <c:pt idx="5">
                  <c:v>Phoxinus phoxinus</c:v>
                </c:pt>
                <c:pt idx="6">
                  <c:v>Rutilus rutilus</c:v>
                </c:pt>
                <c:pt idx="7">
                  <c:v>Siphonostomatoida</c:v>
                </c:pt>
                <c:pt idx="8">
                  <c:v>Squalius cephalus</c:v>
                </c:pt>
                <c:pt idx="9">
                  <c:v>Tinca tinca</c:v>
                </c:pt>
              </c:strCache>
            </c:strRef>
          </c:cat>
          <c:val>
            <c:numRef>
              <c:f>'Tanneries-231206-LEZ-06 (7)'!$B$1:$B$14</c:f>
              <c:numCache>
                <c:formatCode>General</c:formatCode>
                <c:ptCount val="14"/>
                <c:pt idx="0">
                  <c:v>42.4681</c:v>
                </c:pt>
                <c:pt idx="1">
                  <c:v>0.57241799999999998</c:v>
                </c:pt>
                <c:pt idx="3">
                  <c:v>27.4316</c:v>
                </c:pt>
                <c:pt idx="4">
                  <c:v>8.3817199999999996</c:v>
                </c:pt>
                <c:pt idx="5">
                  <c:v>7.8715900000000003</c:v>
                </c:pt>
                <c:pt idx="6">
                  <c:v>5.3440700000000001E-2</c:v>
                </c:pt>
                <c:pt idx="7">
                  <c:v>27.4316</c:v>
                </c:pt>
                <c:pt idx="8">
                  <c:v>7.0464599999999997</c:v>
                </c:pt>
                <c:pt idx="9">
                  <c:v>1.08876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AB1-43BF-8186-291601A3798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231206-LEZ-06-Bis (8)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89-48B6-AD26-D101A2F7CE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89-48B6-AD26-D101A2F7CE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89-48B6-AD26-D101A2F7CE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89-48B6-AD26-D101A2F7CE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189-48B6-AD26-D101A2F7CE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189-48B6-AD26-D101A2F7CEA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189-48B6-AD26-D101A2F7CEA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189-48B6-AD26-D101A2F7CEA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189-48B6-AD26-D101A2F7CEA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189-48B6-AD26-D101A2F7CEA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189-48B6-AD26-D101A2F7CEA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189-48B6-AD26-D101A2F7CEA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189-48B6-AD26-D101A2F7CEA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189-48B6-AD26-D101A2F7CEA3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189-48B6-AD26-D101A2F7CEA3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3189-48B6-AD26-D101A2F7CEA3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3189-48B6-AD26-D101A2F7CEA3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189-48B6-AD26-D101A2F7CEA3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3189-48B6-AD26-D101A2F7CEA3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3189-48B6-AD26-D101A2F7CEA3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3189-48B6-AD26-D101A2F7CEA3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3189-48B6-AD26-D101A2F7CEA3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3189-48B6-AD26-D101A2F7CEA3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3189-48B6-AD26-D101A2F7CEA3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3189-48B6-AD26-D101A2F7CEA3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3189-48B6-AD26-D101A2F7CEA3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3189-48B6-AD26-D101A2F7CEA3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3189-48B6-AD26-D101A2F7CEA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'Tanneries-231206-LEZ-06-Bis (8)'!$A$1:$A$14</c:f>
              <c:strCache>
                <c:ptCount val="5"/>
                <c:pt idx="0">
                  <c:v>Atyaephyra desmarestii</c:v>
                </c:pt>
                <c:pt idx="1">
                  <c:v>Gobio gobio</c:v>
                </c:pt>
                <c:pt idx="2">
                  <c:v>Lepomis gibbosus*</c:v>
                </c:pt>
                <c:pt idx="3">
                  <c:v>Procambarus clarkii*</c:v>
                </c:pt>
                <c:pt idx="4">
                  <c:v>Pseudorasbora parva*</c:v>
                </c:pt>
              </c:strCache>
            </c:strRef>
          </c:cat>
          <c:val>
            <c:numRef>
              <c:f>'Tanneries-231206-LEZ-06-Bis (8)'!$B$1:$B$14</c:f>
              <c:numCache>
                <c:formatCode>General</c:formatCode>
                <c:ptCount val="14"/>
                <c:pt idx="0">
                  <c:v>1.21444</c:v>
                </c:pt>
                <c:pt idx="1">
                  <c:v>10.829499999999999</c:v>
                </c:pt>
                <c:pt idx="2">
                  <c:v>24.801200000000001</c:v>
                </c:pt>
                <c:pt idx="3">
                  <c:v>36.0244</c:v>
                </c:pt>
                <c:pt idx="4">
                  <c:v>0.10021099999999999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189-48B6-AD26-D101A2F7CEA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231206-LEZ-06-Ter (9)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6655627274058557E-2"/>
          <c:y val="1.79051365497965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A5-448C-9F25-296FAB589B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AA5-448C-9F25-296FAB589B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AA5-448C-9F25-296FAB589BB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A5-448C-9F25-296FAB589BB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AA5-448C-9F25-296FAB589B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AA5-448C-9F25-296FAB589B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AA5-448C-9F25-296FAB589B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AA5-448C-9F25-296FAB589B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AA5-448C-9F25-296FAB589B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AA5-448C-9F25-296FAB589B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AA5-448C-9F25-296FAB589B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AA5-448C-9F25-296FAB589BB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AA5-448C-9F25-296FAB589BB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AA5-448C-9F25-296FAB589BB5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AA5-448C-9F25-296FAB589BB5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AA5-448C-9F25-296FAB589BB5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AA5-448C-9F25-296FAB589BB5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AA5-448C-9F25-296FAB589BB5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AA5-448C-9F25-296FAB589BB5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AA5-448C-9F25-296FAB589BB5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AA5-448C-9F25-296FAB589BB5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AAA5-448C-9F25-296FAB589BB5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AA5-448C-9F25-296FAB589BB5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AA5-448C-9F25-296FAB589BB5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AA5-448C-9F25-296FAB589BB5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AA5-448C-9F25-296FAB589BB5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AA5-448C-9F25-296FAB589BB5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AAA5-448C-9F25-296FAB589BB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'Tanneries-231206-LEZ-06-Ter (9)'!$A$1:$A$14</c:f>
              <c:strCache>
                <c:ptCount val="5"/>
                <c:pt idx="0">
                  <c:v>Perca fluviatilis</c:v>
                </c:pt>
                <c:pt idx="1">
                  <c:v>Pseudorasbora parva*</c:v>
                </c:pt>
                <c:pt idx="2">
                  <c:v>Silurus glanis*</c:v>
                </c:pt>
                <c:pt idx="3">
                  <c:v>Phragmophora</c:v>
                </c:pt>
                <c:pt idx="4">
                  <c:v>Procambarus clarkii*</c:v>
                </c:pt>
              </c:strCache>
            </c:strRef>
          </c:cat>
          <c:val>
            <c:numRef>
              <c:f>'Tanneries-231206-LEZ-06-Ter (9)'!$B$1:$B$14</c:f>
              <c:numCache>
                <c:formatCode>General</c:formatCode>
                <c:ptCount val="14"/>
                <c:pt idx="0">
                  <c:v>84.883300000000006</c:v>
                </c:pt>
                <c:pt idx="1">
                  <c:v>1.5660000000000001</c:v>
                </c:pt>
                <c:pt idx="2">
                  <c:v>0.51134500000000005</c:v>
                </c:pt>
                <c:pt idx="3">
                  <c:v>84.883300000000006</c:v>
                </c:pt>
                <c:pt idx="4">
                  <c:v>0.63918200000000003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AA5-448C-9F25-296FAB589BB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Lavalette</a:t>
            </a:r>
            <a:r>
              <a:rPr lang="fr-FR" sz="1200" b="1" baseline="0"/>
              <a:t> / </a:t>
            </a:r>
            <a:r>
              <a:rPr lang="fr-FR" sz="1200" b="1"/>
              <a:t>231129-LEZ-03 (4)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0.70475290910524602"/>
          <c:y val="4.25559171578491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56-46B9-B415-F6D3A5E962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56-46B9-B415-F6D3A5E962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56-46B9-B415-F6D3A5E9627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56-46B9-B415-F6D3A5E9627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156-46B9-B415-F6D3A5E9627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156-46B9-B415-F6D3A5E9627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156-46B9-B415-F6D3A5E9627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156-46B9-B415-F6D3A5E9627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156-46B9-B415-F6D3A5E962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156-46B9-B415-F6D3A5E962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156-46B9-B415-F6D3A5E9627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156-46B9-B415-F6D3A5E9627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156-46B9-B415-F6D3A5E9627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156-46B9-B415-F6D3A5E96275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156-46B9-B415-F6D3A5E96275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156-46B9-B415-F6D3A5E96275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156-46B9-B415-F6D3A5E96275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156-46B9-B415-F6D3A5E96275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156-46B9-B415-F6D3A5E96275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156-46B9-B415-F6D3A5E96275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156-46B9-B415-F6D3A5E96275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A156-46B9-B415-F6D3A5E96275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156-46B9-B415-F6D3A5E96275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156-46B9-B415-F6D3A5E96275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156-46B9-B415-F6D3A5E96275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156-46B9-B415-F6D3A5E96275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156-46B9-B415-F6D3A5E96275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A156-46B9-B415-F6D3A5E9627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'Lavalette-231129-LEZ-03 (4)'!$A$1:$A$14</c:f>
              <c:strCache>
                <c:ptCount val="7"/>
                <c:pt idx="0">
                  <c:v>Silurus glanis*</c:v>
                </c:pt>
                <c:pt idx="1">
                  <c:v>Gambusia holbrooki*</c:v>
                </c:pt>
                <c:pt idx="2">
                  <c:v>Vulpes vulpes</c:v>
                </c:pt>
                <c:pt idx="3">
                  <c:v>Carassius sp*</c:v>
                </c:pt>
                <c:pt idx="4">
                  <c:v>Gallus gallus</c:v>
                </c:pt>
                <c:pt idx="5">
                  <c:v>Atyaephyra desmarestii</c:v>
                </c:pt>
                <c:pt idx="6">
                  <c:v>Harpacticoida</c:v>
                </c:pt>
              </c:strCache>
            </c:strRef>
          </c:cat>
          <c:val>
            <c:numRef>
              <c:f>'Lavalette-231129-LEZ-03 (4)'!$B$1:$B$14</c:f>
              <c:numCache>
                <c:formatCode>General</c:formatCode>
                <c:ptCount val="14"/>
                <c:pt idx="0">
                  <c:v>49.277900000000002</c:v>
                </c:pt>
                <c:pt idx="1">
                  <c:v>3.1408700000000001</c:v>
                </c:pt>
                <c:pt idx="2">
                  <c:v>0.61677899999999997</c:v>
                </c:pt>
                <c:pt idx="3">
                  <c:v>0.29848200000000003</c:v>
                </c:pt>
                <c:pt idx="4">
                  <c:v>6.0687100000000001E-2</c:v>
                </c:pt>
                <c:pt idx="5">
                  <c:v>4.1007199999999999</c:v>
                </c:pt>
                <c:pt idx="6">
                  <c:v>3.1408700000000001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156-46B9-B415-F6D3A5E9627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231130-LEZ-04 (5)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3E-4E3D-A1F9-ACCC1B67C9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3E-4E3D-A1F9-ACCC1B67C9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3E-4E3D-A1F9-ACCC1B67C91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43E-4E3D-A1F9-ACCC1B67C91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3E-4E3D-A1F9-ACCC1B67C91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43E-4E3D-A1F9-ACCC1B67C9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43E-4E3D-A1F9-ACCC1B67C91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43E-4E3D-A1F9-ACCC1B67C91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43E-4E3D-A1F9-ACCC1B67C91B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043E-4E3D-A1F9-ACCC1B67C91B}"/>
                </c:ext>
              </c:extLst>
            </c:dLbl>
            <c:dLbl>
              <c:idx val="1"/>
              <c:layout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8661755263424685E-2"/>
                      <c:h val="6.89406634359694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3E-4E3D-A1F9-ACCC1B67C91B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043E-4E3D-A1F9-ACCC1B67C91B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043E-4E3D-A1F9-ACCC1B67C91B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043E-4E3D-A1F9-ACCC1B67C91B}"/>
                </c:ext>
              </c:extLst>
            </c:dLbl>
            <c:dLbl>
              <c:idx val="5"/>
              <c:spPr>
                <a:solidFill>
                  <a:schemeClr val="lt1"/>
                </a:solidFill>
                <a:ln>
                  <a:solidFill>
                    <a:schemeClr val="accent6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043E-4E3D-A1F9-ACCC1B67C91B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043E-4E3D-A1F9-ACCC1B67C91B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043E-4E3D-A1F9-ACCC1B67C91B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043E-4E3D-A1F9-ACCC1B67C91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'Clinique-231130-LEZ-04 (5)'!$A$1:$A$9</c:f>
              <c:strCache>
                <c:ptCount val="9"/>
                <c:pt idx="0">
                  <c:v>Barbatula quignardi</c:v>
                </c:pt>
                <c:pt idx="1">
                  <c:v>Cricotopus</c:v>
                </c:pt>
                <c:pt idx="2">
                  <c:v>Gambusia holbrooki *</c:v>
                </c:pt>
                <c:pt idx="3">
                  <c:v>Gammarus tigrinus *</c:v>
                </c:pt>
                <c:pt idx="4">
                  <c:v>Gobio gobio</c:v>
                </c:pt>
                <c:pt idx="5">
                  <c:v>Harpacticoida</c:v>
                </c:pt>
                <c:pt idx="6">
                  <c:v>Lepomis gibbosus *</c:v>
                </c:pt>
                <c:pt idx="7">
                  <c:v>Procambarus clarkii *</c:v>
                </c:pt>
                <c:pt idx="8">
                  <c:v>Pseudorasbora parva *</c:v>
                </c:pt>
              </c:strCache>
            </c:strRef>
          </c:cat>
          <c:val>
            <c:numRef>
              <c:f>'Clinique-231130-LEZ-04 (5)'!$B$1:$B$9</c:f>
              <c:numCache>
                <c:formatCode>General</c:formatCode>
                <c:ptCount val="9"/>
                <c:pt idx="0">
                  <c:v>4.0475199999999996</c:v>
                </c:pt>
                <c:pt idx="1">
                  <c:v>0.221025</c:v>
                </c:pt>
                <c:pt idx="2">
                  <c:v>8.2746200000000005</c:v>
                </c:pt>
                <c:pt idx="3">
                  <c:v>0.64926099999999998</c:v>
                </c:pt>
                <c:pt idx="4">
                  <c:v>4.43431</c:v>
                </c:pt>
                <c:pt idx="5">
                  <c:v>8.2746200000000005</c:v>
                </c:pt>
                <c:pt idx="6">
                  <c:v>15.9</c:v>
                </c:pt>
                <c:pt idx="7">
                  <c:v>2.5417900000000002</c:v>
                </c:pt>
                <c:pt idx="8">
                  <c:v>3.4811399999999999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43E-4E3D-A1F9-ACCC1B67C91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231207-LEZ-07 (10)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800" b="1" i="0" u="none" strike="noStrike" cap="all" baseline="0">
                <a:effectLst/>
              </a:rPr>
              <a:t> </a:t>
            </a:r>
            <a:r>
              <a:rPr lang="fr-FR" sz="8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82-4B4A-BDFB-1C31627222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82-4B4A-BDFB-1C31627222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82-4B4A-BDFB-1C31627222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82-4B4A-BDFB-1C31627222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482-4B4A-BDFB-1C31627222D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482-4B4A-BDFB-1C31627222DB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482-4B4A-BDFB-1C31627222DB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482-4B4A-BDFB-1C31627222DB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482-4B4A-BDFB-1C31627222DB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482-4B4A-BDFB-1C31627222DB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482-4B4A-BDFB-1C31627222DB}"/>
                </c:ext>
              </c:extLst>
            </c:dLbl>
            <c:dLbl>
              <c:idx val="5"/>
              <c:spPr>
                <a:solidFill>
                  <a:schemeClr val="lt1"/>
                </a:solidFill>
                <a:ln>
                  <a:solidFill>
                    <a:schemeClr val="accent6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482-4B4A-BDFB-1C31627222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'Clinique-231207-LEZ-07 (10) '!$A$1:$A$6</c:f>
              <c:strCache>
                <c:ptCount val="6"/>
                <c:pt idx="0">
                  <c:v>Gobio gobio</c:v>
                </c:pt>
                <c:pt idx="1">
                  <c:v>Lepomis gibbosus *</c:v>
                </c:pt>
                <c:pt idx="2">
                  <c:v>Gambusia holbrooki *</c:v>
                </c:pt>
                <c:pt idx="3">
                  <c:v>Silurus glanis *</c:v>
                </c:pt>
                <c:pt idx="4">
                  <c:v>Procambarus clarkii *</c:v>
                </c:pt>
                <c:pt idx="5">
                  <c:v>Harpacticoida</c:v>
                </c:pt>
              </c:strCache>
            </c:strRef>
          </c:cat>
          <c:val>
            <c:numRef>
              <c:f>'Clinique-231207-LEZ-07 (10) '!$B$1:$B$6</c:f>
              <c:numCache>
                <c:formatCode>General</c:formatCode>
                <c:ptCount val="6"/>
                <c:pt idx="0">
                  <c:v>11.2662</c:v>
                </c:pt>
                <c:pt idx="1">
                  <c:v>6.6799600000000003</c:v>
                </c:pt>
                <c:pt idx="2">
                  <c:v>5.18445</c:v>
                </c:pt>
                <c:pt idx="3">
                  <c:v>1.59521</c:v>
                </c:pt>
                <c:pt idx="4">
                  <c:v>52.941200000000002</c:v>
                </c:pt>
                <c:pt idx="5">
                  <c:v>5.18445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82-4B4A-BDFB-1C31627222D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231207-LEZ-07-Bis (11)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8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95F-49C2-9BBD-8FD290E183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95F-49C2-9BBD-8FD290E183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95F-49C2-9BBD-8FD290E183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95F-49C2-9BBD-8FD290E183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95F-49C2-9BBD-8FD290E183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95F-49C2-9BBD-8FD290E183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95F-49C2-9BBD-8FD290E183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95F-49C2-9BBD-8FD290E1833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95F-49C2-9BBD-8FD290E183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95F-49C2-9BBD-8FD290E183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95F-49C2-9BBD-8FD290E1833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95F-49C2-9BBD-8FD290E1833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95F-49C2-9BBD-8FD290E1833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95F-49C2-9BBD-8FD290E1833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95F-49C2-9BBD-8FD290E1833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95F-49C2-9BBD-8FD290E1833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95F-49C2-9BBD-8FD290E1833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95F-49C2-9BBD-8FD290E1833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95F-49C2-9BBD-8FD290E1833B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95F-49C2-9BBD-8FD290E1833B}"/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95F-49C2-9BBD-8FD290E1833B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595F-49C2-9BBD-8FD290E1833B}"/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595F-49C2-9BBD-8FD290E1833B}"/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595F-49C2-9BBD-8FD290E1833B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595F-49C2-9BBD-8FD290E1833B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595F-49C2-9BBD-8FD290E1833B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595F-49C2-9BBD-8FD290E1833B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595F-49C2-9BBD-8FD290E1833B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595F-49C2-9BBD-8FD290E1833B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595F-49C2-9BBD-8FD290E1833B}"/>
                </c:ext>
              </c:extLst>
            </c:dLbl>
            <c:dLbl>
              <c:idx val="11"/>
              <c:spPr>
                <a:solidFill>
                  <a:schemeClr val="lt1"/>
                </a:solidFill>
                <a:ln>
                  <a:solidFill>
                    <a:schemeClr val="accent6">
                      <a:lumMod val="60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595F-49C2-9BBD-8FD290E1833B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595F-49C2-9BBD-8FD290E1833B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595F-49C2-9BBD-8FD290E1833B}"/>
                </c:ext>
              </c:extLst>
            </c:dLbl>
            <c:dLbl>
              <c:idx val="1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D-595F-49C2-9BBD-8FD290E1833B}"/>
                </c:ext>
              </c:extLst>
            </c:dLbl>
            <c:dLbl>
              <c:idx val="15"/>
              <c:spPr>
                <a:solidFill>
                  <a:schemeClr val="lt1"/>
                </a:solidFill>
                <a:ln>
                  <a:solidFill>
                    <a:schemeClr val="accent4">
                      <a:lumMod val="80000"/>
                      <a:lumOff val="20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F-595F-49C2-9BBD-8FD290E1833B}"/>
                </c:ext>
              </c:extLst>
            </c:dLbl>
            <c:dLbl>
              <c:idx val="1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1-595F-49C2-9BBD-8FD290E1833B}"/>
                </c:ext>
              </c:extLst>
            </c:dLbl>
            <c:dLbl>
              <c:idx val="1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3-595F-49C2-9BBD-8FD290E1833B}"/>
                </c:ext>
              </c:extLst>
            </c:dLbl>
            <c:dLbl>
              <c:idx val="1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5-595F-49C2-9BBD-8FD290E1833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'Clinique-231207-LEZ-07-Bis (11)'!$A$1:$A$19</c:f>
              <c:strCache>
                <c:ptCount val="19"/>
                <c:pt idx="9">
                  <c:v>Lepomis gibbosus *</c:v>
                </c:pt>
                <c:pt idx="10">
                  <c:v>Carassius sp </c:v>
                </c:pt>
                <c:pt idx="12">
                  <c:v>Pseudorasbora parva *</c:v>
                </c:pt>
                <c:pt idx="13">
                  <c:v>Gambusia holbrooki *</c:v>
                </c:pt>
                <c:pt idx="14">
                  <c:v>Harpacticoida</c:v>
                </c:pt>
                <c:pt idx="15">
                  <c:v>Squalius cephalus</c:v>
                </c:pt>
                <c:pt idx="16">
                  <c:v>Silurus glanis *</c:v>
                </c:pt>
                <c:pt idx="17">
                  <c:v>Procambarus clarkii *</c:v>
                </c:pt>
                <c:pt idx="18">
                  <c:v>Gobio gobio</c:v>
                </c:pt>
              </c:strCache>
            </c:strRef>
          </c:cat>
          <c:val>
            <c:numRef>
              <c:f>'Clinique-231207-LEZ-07-Bis (11)'!$B$1:$B$19</c:f>
              <c:numCache>
                <c:formatCode>General</c:formatCode>
                <c:ptCount val="19"/>
                <c:pt idx="9">
                  <c:v>0.220443</c:v>
                </c:pt>
                <c:pt idx="10">
                  <c:v>0.84487400000000001</c:v>
                </c:pt>
                <c:pt idx="12">
                  <c:v>1.1697500000000001</c:v>
                </c:pt>
                <c:pt idx="13">
                  <c:v>1.39489</c:v>
                </c:pt>
                <c:pt idx="14">
                  <c:v>1.39489</c:v>
                </c:pt>
                <c:pt idx="15">
                  <c:v>1.9924299999999999</c:v>
                </c:pt>
                <c:pt idx="16">
                  <c:v>5.3806799999999999</c:v>
                </c:pt>
                <c:pt idx="17">
                  <c:v>15.068</c:v>
                </c:pt>
                <c:pt idx="18">
                  <c:v>57.914200000000001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95F-49C2-9BBD-8FD290E1833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231207-LEZ-07-Ter (12)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800" b="1" i="0" u="none" strike="noStrike" cap="all" baseline="0">
                <a:effectLst/>
              </a:rPr>
              <a:t> </a:t>
            </a:r>
            <a:r>
              <a:rPr lang="fr-FR" sz="8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6E-4411-BF2C-8F2F032D7E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6E-4411-BF2C-8F2F032D7E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96E-4411-BF2C-8F2F032D7E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6E-4411-BF2C-8F2F032D7E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96E-4411-BF2C-8F2F032D7EF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96E-4411-BF2C-8F2F032D7EF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96E-4411-BF2C-8F2F032D7EF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96E-4411-BF2C-8F2F032D7EF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96E-4411-BF2C-8F2F032D7EF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96E-4411-BF2C-8F2F032D7EF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96E-4411-BF2C-8F2F032D7EF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96E-4411-BF2C-8F2F032D7EF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96E-4411-BF2C-8F2F032D7EF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96E-4411-BF2C-8F2F032D7EF9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96E-4411-BF2C-8F2F032D7EF9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96E-4411-BF2C-8F2F032D7EF9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96E-4411-BF2C-8F2F032D7EF9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96E-4411-BF2C-8F2F032D7EF9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96E-4411-BF2C-8F2F032D7EF9}"/>
                </c:ext>
              </c:extLst>
            </c:dLbl>
            <c:dLbl>
              <c:idx val="5"/>
              <c:layout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0066382796571029"/>
                      <c:h val="6.89406634359694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96E-4411-BF2C-8F2F032D7EF9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96E-4411-BF2C-8F2F032D7EF9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B96E-4411-BF2C-8F2F032D7EF9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96E-4411-BF2C-8F2F032D7EF9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96E-4411-BF2C-8F2F032D7EF9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96E-4411-BF2C-8F2F032D7EF9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96E-4411-BF2C-8F2F032D7EF9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96E-4411-BF2C-8F2F032D7EF9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B96E-4411-BF2C-8F2F032D7EF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'Clinique-231207-LEZ-07-Ter (12)'!$A$1:$A$14</c:f>
              <c:strCache>
                <c:ptCount val="7"/>
                <c:pt idx="0">
                  <c:v>Cyprinus carpio</c:v>
                </c:pt>
                <c:pt idx="1">
                  <c:v>Carassius sp *</c:v>
                </c:pt>
                <c:pt idx="2">
                  <c:v>Anguilla anguilla</c:v>
                </c:pt>
                <c:pt idx="3">
                  <c:v>Silurus glanis*</c:v>
                </c:pt>
                <c:pt idx="4">
                  <c:v>Pseudorasbora parva*</c:v>
                </c:pt>
                <c:pt idx="5">
                  <c:v>Barbus barbus</c:v>
                </c:pt>
                <c:pt idx="6">
                  <c:v>Paguridae</c:v>
                </c:pt>
              </c:strCache>
            </c:strRef>
          </c:cat>
          <c:val>
            <c:numRef>
              <c:f>'Clinique-231207-LEZ-07-Ter (12)'!$B$1:$B$14</c:f>
              <c:numCache>
                <c:formatCode>General</c:formatCode>
                <c:ptCount val="14"/>
                <c:pt idx="0">
                  <c:v>47.174100000000003</c:v>
                </c:pt>
                <c:pt idx="1">
                  <c:v>10.8256</c:v>
                </c:pt>
                <c:pt idx="2">
                  <c:v>6.8671699999999998</c:v>
                </c:pt>
                <c:pt idx="3">
                  <c:v>6.7922799999999999</c:v>
                </c:pt>
                <c:pt idx="4">
                  <c:v>0.74906300000000003</c:v>
                </c:pt>
                <c:pt idx="5">
                  <c:v>1.1701700000000001E-2</c:v>
                </c:pt>
                <c:pt idx="6">
                  <c:v>6.8671699999999998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96E-4411-BF2C-8F2F032D7EF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u="none" strike="noStrike" cap="all" baseline="0">
                <a:effectLst/>
              </a:rPr>
              <a:t>Hôtel de Région / 231201-LEZ-05 (6)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AD-4FB3-9C02-999B6A1F44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AD-4FB3-9C02-999B6A1F44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AD-4FB3-9C02-999B6A1F449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EAD-4FB3-9C02-999B6A1F449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AD-4FB3-9C02-999B6A1F44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EAD-4FB3-9C02-999B6A1F449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EAD-4FB3-9C02-999B6A1F449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EAD-4FB3-9C02-999B6A1F449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EAD-4FB3-9C02-999B6A1F449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EAD-4FB3-9C02-999B6A1F449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EAD-4FB3-9C02-999B6A1F449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EAD-4FB3-9C02-999B6A1F449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EAD-4FB3-9C02-999B6A1F449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EAD-4FB3-9C02-999B6A1F449F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EAD-4FB3-9C02-999B6A1F449F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EAD-4FB3-9C02-999B6A1F449F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EAD-4FB3-9C02-999B6A1F449F}"/>
                </c:ext>
              </c:extLst>
            </c:dLbl>
            <c:dLbl>
              <c:idx val="3"/>
              <c:layout>
                <c:manualLayout>
                  <c:x val="-0.1193483378955313"/>
                  <c:y val="4.6922103101943807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7-CEAD-4FB3-9C02-999B6A1F449F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EAD-4FB3-9C02-999B6A1F449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EAD-4FB3-9C02-999B6A1F449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EAD-4FB3-9C02-999B6A1F449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CEAD-4FB3-9C02-999B6A1F449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EAD-4FB3-9C02-999B6A1F449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CEAD-4FB3-9C02-999B6A1F449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EAD-4FB3-9C02-999B6A1F449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EAD-4FB3-9C02-999B6A1F449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EAD-4FB3-9C02-999B6A1F449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CEAD-4FB3-9C02-999B6A1F449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'HdR-231201-LEZ-05 (6)'!$A$1:$A$14</c:f>
              <c:strCache>
                <c:ptCount val="7"/>
                <c:pt idx="0">
                  <c:v>Barbus barbus</c:v>
                </c:pt>
                <c:pt idx="1">
                  <c:v>Carassius sp*</c:v>
                </c:pt>
                <c:pt idx="2">
                  <c:v>Cyprinus carpio</c:v>
                </c:pt>
                <c:pt idx="3">
                  <c:v>Gambusia holbrooki *</c:v>
                </c:pt>
                <c:pt idx="4">
                  <c:v>Harpacticoida</c:v>
                </c:pt>
                <c:pt idx="5">
                  <c:v>Lepomis gibbosus *</c:v>
                </c:pt>
                <c:pt idx="6">
                  <c:v>Silurus glanis *</c:v>
                </c:pt>
              </c:strCache>
            </c:strRef>
          </c:cat>
          <c:val>
            <c:numRef>
              <c:f>'HdR-231201-LEZ-05 (6)'!$B$1:$B$14</c:f>
              <c:numCache>
                <c:formatCode>General</c:formatCode>
                <c:ptCount val="14"/>
                <c:pt idx="0">
                  <c:v>21.83</c:v>
                </c:pt>
                <c:pt idx="1">
                  <c:v>0.15348300000000001</c:v>
                </c:pt>
                <c:pt idx="2">
                  <c:v>48.642299999999999</c:v>
                </c:pt>
                <c:pt idx="3">
                  <c:v>0.56670600000000004</c:v>
                </c:pt>
                <c:pt idx="4">
                  <c:v>0.56670600000000004</c:v>
                </c:pt>
                <c:pt idx="5">
                  <c:v>0.678867</c:v>
                </c:pt>
                <c:pt idx="6">
                  <c:v>0.89138099999999998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EAD-4FB3-9C02-999B6A1F449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u="none" strike="noStrike" cap="all" baseline="0">
                <a:effectLst/>
              </a:rPr>
              <a:t>Hôtel de Région / 231214-LEZ-09 (15)</a:t>
            </a:r>
          </a:p>
          <a:p>
            <a:pPr>
              <a:defRPr/>
            </a:pPr>
            <a:r>
              <a:rPr lang="fr-FR" sz="800" b="1" i="0" u="none" strike="noStrike" cap="all" baseline="0">
                <a:effectLst/>
              </a:rPr>
              <a:t>(* =EEE)</a:t>
            </a:r>
            <a:endParaRPr lang="fr-FR" sz="800" b="1"/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84-42DC-81A7-50B80BF406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84-42DC-81A7-50B80BF406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A84-42DC-81A7-50B80BF406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A84-42DC-81A7-50B80BF406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A84-42DC-81A7-50B80BF4067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A84-42DC-81A7-50B80BF4067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A84-42DC-81A7-50B80BF4067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A84-42DC-81A7-50B80BF4067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A84-42DC-81A7-50B80BF4067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A84-42DC-81A7-50B80BF4067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A84-42DC-81A7-50B80BF4067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A84-42DC-81A7-50B80BF4067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A84-42DC-81A7-50B80BF4067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A84-42DC-81A7-50B80BF40672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A84-42DC-81A7-50B80BF40672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A84-42DC-81A7-50B80BF40672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5A84-42DC-81A7-50B80BF40672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5A84-42DC-81A7-50B80BF40672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5A84-42DC-81A7-50B80BF40672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5A84-42DC-81A7-50B80BF40672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5A84-42DC-81A7-50B80BF40672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5A84-42DC-81A7-50B80BF40672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5A84-42DC-81A7-50B80BF40672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5A84-42DC-81A7-50B80BF40672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5A84-42DC-81A7-50B80BF40672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5A84-42DC-81A7-50B80BF40672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5A84-42DC-81A7-50B80BF40672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5A84-42DC-81A7-50B80BF4067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'HdR-231214-LEZ-09 (15)'!$A$1:$A$14</c:f>
              <c:strCache>
                <c:ptCount val="8"/>
                <c:pt idx="0">
                  <c:v>Anguilla anguilla</c:v>
                </c:pt>
                <c:pt idx="1">
                  <c:v>Carassius sp *</c:v>
                </c:pt>
                <c:pt idx="2">
                  <c:v>Cyprinus carpio</c:v>
                </c:pt>
                <c:pt idx="3">
                  <c:v>Gobio gobio</c:v>
                </c:pt>
                <c:pt idx="4">
                  <c:v>Lepomis gibbosus *</c:v>
                </c:pt>
                <c:pt idx="5">
                  <c:v>Paguridae</c:v>
                </c:pt>
                <c:pt idx="6">
                  <c:v>Pseudorasbora parva *</c:v>
                </c:pt>
                <c:pt idx="7">
                  <c:v>Silurus glanis *</c:v>
                </c:pt>
              </c:strCache>
            </c:strRef>
          </c:cat>
          <c:val>
            <c:numRef>
              <c:f>'HdR-231214-LEZ-09 (15)'!$B$1:$B$14</c:f>
              <c:numCache>
                <c:formatCode>General</c:formatCode>
                <c:ptCount val="14"/>
                <c:pt idx="0">
                  <c:v>35.333599999999997</c:v>
                </c:pt>
                <c:pt idx="1">
                  <c:v>17.194700000000001</c:v>
                </c:pt>
                <c:pt idx="2">
                  <c:v>16.038499999999999</c:v>
                </c:pt>
                <c:pt idx="3">
                  <c:v>3.8320400000000001</c:v>
                </c:pt>
                <c:pt idx="4">
                  <c:v>1.03938</c:v>
                </c:pt>
                <c:pt idx="5">
                  <c:v>35.333599999999997</c:v>
                </c:pt>
                <c:pt idx="6">
                  <c:v>9.3508400000000005E-2</c:v>
                </c:pt>
                <c:pt idx="7">
                  <c:v>0.83258399999999999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A84-42DC-81A7-50B80BF4067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cap="all" baseline="0">
                <a:effectLst/>
              </a:rPr>
              <a:t>Lez Aval-231228-LEZ-11 (17)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fr-FR" sz="12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8D-4F03-83FC-CDADC3D5E8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58D-4F03-83FC-CDADC3D5E8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58D-4F03-83FC-CDADC3D5E8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58D-4F03-83FC-CDADC3D5E8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8D-4F03-83FC-CDADC3D5E8B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58D-4F03-83FC-CDADC3D5E8B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58D-4F03-83FC-CDADC3D5E8B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58D-4F03-83FC-CDADC3D5E8B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58D-4F03-83FC-CDADC3D5E8B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58D-4F03-83FC-CDADC3D5E8B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58D-4F03-83FC-CDADC3D5E8B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58D-4F03-83FC-CDADC3D5E8B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58D-4F03-83FC-CDADC3D5E8B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58D-4F03-83FC-CDADC3D5E8B0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58D-4F03-83FC-CDADC3D5E8B0}"/>
                </c:ext>
              </c:extLst>
            </c:dLbl>
            <c:dLbl>
              <c:idx val="1"/>
              <c:layout>
                <c:manualLayout>
                  <c:x val="-7.5465794779944348E-2"/>
                  <c:y val="2.0627290117905352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3-A58D-4F03-83FC-CDADC3D5E8B0}"/>
                </c:ext>
              </c:extLst>
            </c:dLbl>
            <c:dLbl>
              <c:idx val="2"/>
              <c:layout>
                <c:manualLayout>
                  <c:x val="-2.9950604350421864E-2"/>
                  <c:y val="-5.6221895845599418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5-A58D-4F03-83FC-CDADC3D5E8B0}"/>
                </c:ext>
              </c:extLst>
            </c:dLbl>
            <c:dLbl>
              <c:idx val="3"/>
              <c:layout>
                <c:manualLayout>
                  <c:x val="5.1259279285368296E-2"/>
                  <c:y val="-9.682170994032483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7-A58D-4F03-83FC-CDADC3D5E8B0}"/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58D-4F03-83FC-CDADC3D5E8B0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58D-4F03-83FC-CDADC3D5E8B0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58D-4F03-83FC-CDADC3D5E8B0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A58D-4F03-83FC-CDADC3D5E8B0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58D-4F03-83FC-CDADC3D5E8B0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58D-4F03-83FC-CDADC3D5E8B0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58D-4F03-83FC-CDADC3D5E8B0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58D-4F03-83FC-CDADC3D5E8B0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58D-4F03-83FC-CDADC3D5E8B0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A58D-4F03-83FC-CDADC3D5E8B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Aval-231228-LEZ-11 (17)'!$A$1:$A$14</c:f>
              <c:strCache>
                <c:ptCount val="4"/>
                <c:pt idx="0">
                  <c:v>Carassius sp *</c:v>
                </c:pt>
                <c:pt idx="1">
                  <c:v>Cyprinus carpio</c:v>
                </c:pt>
                <c:pt idx="2">
                  <c:v>Pseudorasbora parva *</c:v>
                </c:pt>
                <c:pt idx="3">
                  <c:v>Gallus_gallus</c:v>
                </c:pt>
              </c:strCache>
            </c:strRef>
          </c:cat>
          <c:val>
            <c:numRef>
              <c:f>'Lez Aval-231228-LEZ-11 (17)'!$B$1:$B$14</c:f>
              <c:numCache>
                <c:formatCode>General</c:formatCode>
                <c:ptCount val="14"/>
                <c:pt idx="0">
                  <c:v>80.701300000000003</c:v>
                </c:pt>
                <c:pt idx="1">
                  <c:v>4.4637799999999999</c:v>
                </c:pt>
                <c:pt idx="2">
                  <c:v>1.82518</c:v>
                </c:pt>
                <c:pt idx="3">
                  <c:v>8.86727E-3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58D-4F03-83FC-CDADC3D5E8B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cap="all" baseline="0">
                <a:effectLst/>
              </a:rPr>
              <a:t>Lez Aval-231228-LEZ-11-bis (18)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fr-FR" sz="12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044-44CD-8E1F-796DC5A956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044-44CD-8E1F-796DC5A956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044-44CD-8E1F-796DC5A956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044-44CD-8E1F-796DC5A956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044-44CD-8E1F-796DC5A956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044-44CD-8E1F-796DC5A9564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044-44CD-8E1F-796DC5A9564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044-44CD-8E1F-796DC5A9564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044-44CD-8E1F-796DC5A9564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044-44CD-8E1F-796DC5A9564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044-44CD-8E1F-796DC5A9564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044-44CD-8E1F-796DC5A9564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044-44CD-8E1F-796DC5A9564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044-44CD-8E1F-796DC5A9564F}"/>
              </c:ext>
            </c:extLst>
          </c:dPt>
          <c:dLbls>
            <c:dLbl>
              <c:idx val="0"/>
              <c:layout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8.6002730600378982E-2"/>
                      <c:h val="7.43380127942722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044-44CD-8E1F-796DC5A9564F}"/>
                </c:ext>
              </c:extLst>
            </c:dLbl>
            <c:dLbl>
              <c:idx val="1"/>
              <c:layout>
                <c:manualLayout>
                  <c:x val="-7.5465794779944348E-2"/>
                  <c:y val="2.0627290117905352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3-E044-44CD-8E1F-796DC5A9564F}"/>
                </c:ext>
              </c:extLst>
            </c:dLbl>
            <c:dLbl>
              <c:idx val="2"/>
              <c:layout>
                <c:manualLayout>
                  <c:x val="-2.9950604350421864E-2"/>
                  <c:y val="-5.6221895845599418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5-E044-44CD-8E1F-796DC5A9564F}"/>
                </c:ext>
              </c:extLst>
            </c:dLbl>
            <c:dLbl>
              <c:idx val="3"/>
              <c:layout>
                <c:manualLayout>
                  <c:x val="5.1259279285368296E-2"/>
                  <c:y val="-9.682170994032483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7-E044-44CD-8E1F-796DC5A9564F}"/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E044-44CD-8E1F-796DC5A9564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E044-44CD-8E1F-796DC5A9564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E044-44CD-8E1F-796DC5A9564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E044-44CD-8E1F-796DC5A9564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E044-44CD-8E1F-796DC5A9564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E044-44CD-8E1F-796DC5A9564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E044-44CD-8E1F-796DC5A9564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E044-44CD-8E1F-796DC5A9564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E044-44CD-8E1F-796DC5A9564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E044-44CD-8E1F-796DC5A9564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'Lez Aval-231228-LEZ-11-B (18)'!$A$1:$A$14</c:f>
              <c:strCache>
                <c:ptCount val="6"/>
                <c:pt idx="0">
                  <c:v>Carassius sp*</c:v>
                </c:pt>
                <c:pt idx="1">
                  <c:v>Cyprinus carpio</c:v>
                </c:pt>
                <c:pt idx="2">
                  <c:v>Gobio gobio</c:v>
                </c:pt>
                <c:pt idx="3">
                  <c:v>Rutilus rutilus</c:v>
                </c:pt>
                <c:pt idx="4">
                  <c:v>Silurus glanis*</c:v>
                </c:pt>
                <c:pt idx="5">
                  <c:v>Atherina boyeri</c:v>
                </c:pt>
              </c:strCache>
            </c:strRef>
          </c:cat>
          <c:val>
            <c:numRef>
              <c:f>'Lez Aval-231228-LEZ-11-B (18)'!$B$1:$B$14</c:f>
              <c:numCache>
                <c:formatCode>General</c:formatCode>
                <c:ptCount val="14"/>
                <c:pt idx="0">
                  <c:v>29.177</c:v>
                </c:pt>
                <c:pt idx="1">
                  <c:v>22.9939</c:v>
                </c:pt>
                <c:pt idx="2">
                  <c:v>13.4147</c:v>
                </c:pt>
                <c:pt idx="3">
                  <c:v>8.9700399999999991</c:v>
                </c:pt>
                <c:pt idx="4">
                  <c:v>2.4226100000000002</c:v>
                </c:pt>
                <c:pt idx="5">
                  <c:v>0.72872899999999996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044-44CD-8E1F-796DC5A9564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u="none" strike="noStrike" cap="all" baseline="0">
                <a:effectLst/>
              </a:rPr>
              <a:t>Lirou / 231221-LIROU-10 (16)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fr-FR" sz="1200" b="1"/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9D-4ADF-844E-ED87131580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9D-4ADF-844E-ED87131580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89D-4ADF-844E-ED87131580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89D-4ADF-844E-ED87131580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89D-4ADF-844E-ED87131580D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89D-4ADF-844E-ED87131580D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89D-4ADF-844E-ED87131580D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89D-4ADF-844E-ED87131580D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89D-4ADF-844E-ED87131580D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89D-4ADF-844E-ED87131580D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89D-4ADF-844E-ED87131580D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89D-4ADF-844E-ED87131580D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89D-4ADF-844E-ED87131580D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889D-4ADF-844E-ED87131580D7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89D-4ADF-844E-ED87131580D7}"/>
                </c:ext>
              </c:extLst>
            </c:dLbl>
            <c:dLbl>
              <c:idx val="1"/>
              <c:layout>
                <c:manualLayout>
                  <c:x val="-7.5465794779944348E-2"/>
                  <c:y val="2.0627290117905352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3-889D-4ADF-844E-ED87131580D7}"/>
                </c:ext>
              </c:extLst>
            </c:dLbl>
            <c:dLbl>
              <c:idx val="2"/>
              <c:layout>
                <c:manualLayout>
                  <c:x val="-2.9950604350421864E-2"/>
                  <c:y val="-5.6221895845599418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5-889D-4ADF-844E-ED87131580D7}"/>
                </c:ext>
              </c:extLst>
            </c:dLbl>
            <c:dLbl>
              <c:idx val="3"/>
              <c:layout>
                <c:manualLayout>
                  <c:x val="4.5707028037804284E-2"/>
                  <c:y val="-5.647379533597741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7-889D-4ADF-844E-ED87131580D7}"/>
                </c:ext>
              </c:extLst>
            </c:dLbl>
            <c:dLbl>
              <c:idx val="4"/>
              <c:layout>
                <c:manualLayout>
                  <c:x val="0.12826011287215708"/>
                  <c:y val="-1.516012224026638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9-889D-4ADF-844E-ED87131580D7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889D-4ADF-844E-ED87131580D7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889D-4ADF-844E-ED87131580D7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889D-4ADF-844E-ED87131580D7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889D-4ADF-844E-ED87131580D7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889D-4ADF-844E-ED87131580D7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889D-4ADF-844E-ED87131580D7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889D-4ADF-844E-ED87131580D7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889D-4ADF-844E-ED87131580D7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889D-4ADF-844E-ED87131580D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'Lirou-231221-LIROU-10 (16)'!$A$1:$A$14</c:f>
              <c:strCache>
                <c:ptCount val="5"/>
                <c:pt idx="0">
                  <c:v>Chondrostoma nasus *</c:v>
                </c:pt>
                <c:pt idx="1">
                  <c:v>Cottus sp</c:v>
                </c:pt>
                <c:pt idx="2">
                  <c:v>Gobio gobio</c:v>
                </c:pt>
                <c:pt idx="3">
                  <c:v>Squalius cephalus</c:v>
                </c:pt>
                <c:pt idx="4">
                  <c:v>Telestes</c:v>
                </c:pt>
              </c:strCache>
            </c:strRef>
          </c:cat>
          <c:val>
            <c:numRef>
              <c:f>'Lirou-231221-LIROU-10 (16)'!$B$1:$B$14</c:f>
              <c:numCache>
                <c:formatCode>General</c:formatCode>
                <c:ptCount val="14"/>
                <c:pt idx="0">
                  <c:v>94.282899999999998</c:v>
                </c:pt>
                <c:pt idx="1">
                  <c:v>1.1149300000000001E-3</c:v>
                </c:pt>
                <c:pt idx="2">
                  <c:v>0.451548</c:v>
                </c:pt>
                <c:pt idx="3">
                  <c:v>1.02979</c:v>
                </c:pt>
                <c:pt idx="4">
                  <c:v>4.8118199999999996E-3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89D-4ADF-844E-ED87131580D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Table des Mati&#232;re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91440</xdr:colOff>
      <xdr:row>4</xdr:row>
      <xdr:rowOff>114300</xdr:rowOff>
    </xdr:from>
    <xdr:to>
      <xdr:col>6</xdr:col>
      <xdr:colOff>137160</xdr:colOff>
      <xdr:row>9</xdr:row>
      <xdr:rowOff>28575</xdr:rowOff>
    </xdr:to>
    <xdr:pic>
      <xdr:nvPicPr>
        <xdr:cNvPr id="2" name="Imag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3840" y="845820"/>
          <a:ext cx="838200" cy="838200"/>
        </a:xfrm>
        <a:prstGeom prst="rect">
          <a:avLst/>
        </a:prstGeom>
      </xdr:spPr>
    </xdr:pic>
    <xdr:clientData/>
  </xdr:twoCellAnchor>
  <xdr:twoCellAnchor>
    <xdr:from>
      <xdr:col>5</xdr:col>
      <xdr:colOff>148862</xdr:colOff>
      <xdr:row>0</xdr:row>
      <xdr:rowOff>91688</xdr:rowOff>
    </xdr:from>
    <xdr:to>
      <xdr:col>6</xdr:col>
      <xdr:colOff>542324</xdr:colOff>
      <xdr:row>4</xdr:row>
      <xdr:rowOff>37058</xdr:rowOff>
    </xdr:to>
    <xdr:sp macro="" textlink="">
      <xdr:nvSpPr>
        <xdr:cNvPr id="3" name="Bulle ronde 2"/>
        <xdr:cNvSpPr/>
      </xdr:nvSpPr>
      <xdr:spPr>
        <a:xfrm rot="366700">
          <a:off x="4111262" y="91688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647700</xdr:colOff>
      <xdr:row>6</xdr:row>
      <xdr:rowOff>91192</xdr:rowOff>
    </xdr:from>
    <xdr:to>
      <xdr:col>12</xdr:col>
      <xdr:colOff>693420</xdr:colOff>
      <xdr:row>11</xdr:row>
      <xdr:rowOff>14992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118847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701587</xdr:colOff>
      <xdr:row>2</xdr:row>
      <xdr:rowOff>73422</xdr:rowOff>
    </xdr:from>
    <xdr:to>
      <xdr:col>13</xdr:col>
      <xdr:colOff>396812</xdr:colOff>
      <xdr:row>6</xdr:row>
      <xdr:rowOff>80156</xdr:rowOff>
    </xdr:to>
    <xdr:sp macro="" textlink="">
      <xdr:nvSpPr>
        <xdr:cNvPr id="4" name="Bulle ronde 3"/>
        <xdr:cNvSpPr/>
      </xdr:nvSpPr>
      <xdr:spPr>
        <a:xfrm rot="366700">
          <a:off x="9083587" y="454422"/>
          <a:ext cx="1219225" cy="76873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579120</xdr:colOff>
      <xdr:row>6</xdr:row>
      <xdr:rowOff>75952</xdr:rowOff>
    </xdr:from>
    <xdr:to>
      <xdr:col>12</xdr:col>
      <xdr:colOff>624840</xdr:colOff>
      <xdr:row>10</xdr:row>
      <xdr:rowOff>182632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5980" y="117323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634729</xdr:colOff>
      <xdr:row>2</xdr:row>
      <xdr:rowOff>56136</xdr:rowOff>
    </xdr:from>
    <xdr:to>
      <xdr:col>13</xdr:col>
      <xdr:colOff>289908</xdr:colOff>
      <xdr:row>6</xdr:row>
      <xdr:rowOff>25030</xdr:rowOff>
    </xdr:to>
    <xdr:sp macro="" textlink="">
      <xdr:nvSpPr>
        <xdr:cNvPr id="4" name="Bulle ronde 3"/>
        <xdr:cNvSpPr/>
      </xdr:nvSpPr>
      <xdr:spPr>
        <a:xfrm rot="366700">
          <a:off x="9464404" y="437136"/>
          <a:ext cx="1179179" cy="73089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464820</xdr:colOff>
      <xdr:row>6</xdr:row>
      <xdr:rowOff>60712</xdr:rowOff>
    </xdr:from>
    <xdr:to>
      <xdr:col>12</xdr:col>
      <xdr:colOff>510540</xdr:colOff>
      <xdr:row>10</xdr:row>
      <xdr:rowOff>167392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1680" y="11579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520606</xdr:colOff>
      <xdr:row>2</xdr:row>
      <xdr:rowOff>40378</xdr:rowOff>
    </xdr:from>
    <xdr:to>
      <xdr:col>13</xdr:col>
      <xdr:colOff>165908</xdr:colOff>
      <xdr:row>6</xdr:row>
      <xdr:rowOff>6498</xdr:rowOff>
    </xdr:to>
    <xdr:sp macro="" textlink="">
      <xdr:nvSpPr>
        <xdr:cNvPr id="4" name="Bulle ronde 3"/>
        <xdr:cNvSpPr/>
      </xdr:nvSpPr>
      <xdr:spPr>
        <a:xfrm rot="366700">
          <a:off x="9350281" y="421378"/>
          <a:ext cx="1169302" cy="72812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708660</xdr:colOff>
      <xdr:row>6</xdr:row>
      <xdr:rowOff>14992</xdr:rowOff>
    </xdr:from>
    <xdr:to>
      <xdr:col>12</xdr:col>
      <xdr:colOff>754380</xdr:colOff>
      <xdr:row>10</xdr:row>
      <xdr:rowOff>121672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5520" y="111227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1516</xdr:colOff>
      <xdr:row>1</xdr:row>
      <xdr:rowOff>177305</xdr:rowOff>
    </xdr:from>
    <xdr:to>
      <xdr:col>13</xdr:col>
      <xdr:colOff>405367</xdr:colOff>
      <xdr:row>5</xdr:row>
      <xdr:rowOff>168679</xdr:rowOff>
    </xdr:to>
    <xdr:sp macro="" textlink="">
      <xdr:nvSpPr>
        <xdr:cNvPr id="4" name="Bulle ronde 3"/>
        <xdr:cNvSpPr/>
      </xdr:nvSpPr>
      <xdr:spPr>
        <a:xfrm rot="366700">
          <a:off x="9593191" y="367805"/>
          <a:ext cx="1165851" cy="75337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358140</xdr:colOff>
      <xdr:row>6</xdr:row>
      <xdr:rowOff>167392</xdr:rowOff>
    </xdr:from>
    <xdr:to>
      <xdr:col>12</xdr:col>
      <xdr:colOff>403860</xdr:colOff>
      <xdr:row>11</xdr:row>
      <xdr:rowOff>91192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26467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413985</xdr:colOff>
      <xdr:row>2</xdr:row>
      <xdr:rowOff>148195</xdr:rowOff>
    </xdr:from>
    <xdr:to>
      <xdr:col>13</xdr:col>
      <xdr:colOff>80529</xdr:colOff>
      <xdr:row>6</xdr:row>
      <xdr:rowOff>119682</xdr:rowOff>
    </xdr:to>
    <xdr:sp macro="" textlink="">
      <xdr:nvSpPr>
        <xdr:cNvPr id="4" name="Bulle ronde 3"/>
        <xdr:cNvSpPr/>
      </xdr:nvSpPr>
      <xdr:spPr>
        <a:xfrm rot="366700">
          <a:off x="9243660" y="529195"/>
          <a:ext cx="1190544" cy="733487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754380</xdr:colOff>
      <xdr:row>6</xdr:row>
      <xdr:rowOff>14992</xdr:rowOff>
    </xdr:from>
    <xdr:to>
      <xdr:col>13</xdr:col>
      <xdr:colOff>7620</xdr:colOff>
      <xdr:row>10</xdr:row>
      <xdr:rowOff>121672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240" y="111227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19322</xdr:colOff>
      <xdr:row>1</xdr:row>
      <xdr:rowOff>175260</xdr:rowOff>
    </xdr:from>
    <xdr:to>
      <xdr:col>13</xdr:col>
      <xdr:colOff>412784</xdr:colOff>
      <xdr:row>5</xdr:row>
      <xdr:rowOff>120630</xdr:rowOff>
    </xdr:to>
    <xdr:sp macro="" textlink="">
      <xdr:nvSpPr>
        <xdr:cNvPr id="4" name="Bulle ronde 3"/>
        <xdr:cNvSpPr/>
      </xdr:nvSpPr>
      <xdr:spPr>
        <a:xfrm rot="366700">
          <a:off x="9978662" y="35814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678180</xdr:colOff>
      <xdr:row>6</xdr:row>
      <xdr:rowOff>14992</xdr:rowOff>
    </xdr:from>
    <xdr:to>
      <xdr:col>12</xdr:col>
      <xdr:colOff>723900</xdr:colOff>
      <xdr:row>10</xdr:row>
      <xdr:rowOff>121672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5040" y="111227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734029</xdr:colOff>
      <xdr:row>1</xdr:row>
      <xdr:rowOff>176845</xdr:rowOff>
    </xdr:from>
    <xdr:to>
      <xdr:col>13</xdr:col>
      <xdr:colOff>366275</xdr:colOff>
      <xdr:row>5</xdr:row>
      <xdr:rowOff>150089</xdr:rowOff>
    </xdr:to>
    <xdr:sp macro="" textlink="">
      <xdr:nvSpPr>
        <xdr:cNvPr id="4" name="Bulle ronde 3"/>
        <xdr:cNvSpPr/>
      </xdr:nvSpPr>
      <xdr:spPr>
        <a:xfrm rot="366700">
          <a:off x="9563704" y="367345"/>
          <a:ext cx="1156246" cy="73524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754380</xdr:colOff>
      <xdr:row>5</xdr:row>
      <xdr:rowOff>167392</xdr:rowOff>
    </xdr:from>
    <xdr:to>
      <xdr:col>13</xdr:col>
      <xdr:colOff>7620</xdr:colOff>
      <xdr:row>10</xdr:row>
      <xdr:rowOff>91192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240" y="108179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19322</xdr:colOff>
      <xdr:row>1</xdr:row>
      <xdr:rowOff>144780</xdr:rowOff>
    </xdr:from>
    <xdr:to>
      <xdr:col>13</xdr:col>
      <xdr:colOff>412784</xdr:colOff>
      <xdr:row>5</xdr:row>
      <xdr:rowOff>90150</xdr:rowOff>
    </xdr:to>
    <xdr:sp macro="" textlink="">
      <xdr:nvSpPr>
        <xdr:cNvPr id="4" name="Bulle ronde 3"/>
        <xdr:cNvSpPr/>
      </xdr:nvSpPr>
      <xdr:spPr>
        <a:xfrm rot="366700">
          <a:off x="9978662" y="32766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449580</xdr:colOff>
      <xdr:row>1</xdr:row>
      <xdr:rowOff>137160</xdr:rowOff>
    </xdr:from>
    <xdr:to>
      <xdr:col>13</xdr:col>
      <xdr:colOff>609600</xdr:colOff>
      <xdr:row>27</xdr:row>
      <xdr:rowOff>19050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670560</xdr:colOff>
      <xdr:row>9</xdr:row>
      <xdr:rowOff>98812</xdr:rowOff>
    </xdr:from>
    <xdr:to>
      <xdr:col>12</xdr:col>
      <xdr:colOff>716280</xdr:colOff>
      <xdr:row>14</xdr:row>
      <xdr:rowOff>22612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6960" y="174473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728763</xdr:colOff>
      <xdr:row>5</xdr:row>
      <xdr:rowOff>78067</xdr:rowOff>
    </xdr:from>
    <xdr:to>
      <xdr:col>13</xdr:col>
      <xdr:colOff>363921</xdr:colOff>
      <xdr:row>9</xdr:row>
      <xdr:rowOff>6933</xdr:rowOff>
    </xdr:to>
    <xdr:sp macro="" textlink="">
      <xdr:nvSpPr>
        <xdr:cNvPr id="4" name="Bulle ronde 3"/>
        <xdr:cNvSpPr/>
      </xdr:nvSpPr>
      <xdr:spPr>
        <a:xfrm rot="366700">
          <a:off x="9682263" y="1030567"/>
          <a:ext cx="1159158" cy="690866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784860</xdr:colOff>
      <xdr:row>6</xdr:row>
      <xdr:rowOff>182632</xdr:rowOff>
    </xdr:from>
    <xdr:to>
      <xdr:col>13</xdr:col>
      <xdr:colOff>38100</xdr:colOff>
      <xdr:row>11</xdr:row>
      <xdr:rowOff>106432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8900" y="127991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49802</xdr:colOff>
      <xdr:row>2</xdr:row>
      <xdr:rowOff>160020</xdr:rowOff>
    </xdr:from>
    <xdr:to>
      <xdr:col>13</xdr:col>
      <xdr:colOff>443264</xdr:colOff>
      <xdr:row>6</xdr:row>
      <xdr:rowOff>105390</xdr:rowOff>
    </xdr:to>
    <xdr:sp macro="" textlink="">
      <xdr:nvSpPr>
        <xdr:cNvPr id="4" name="Bulle ronde 3"/>
        <xdr:cNvSpPr/>
      </xdr:nvSpPr>
      <xdr:spPr>
        <a:xfrm rot="366700">
          <a:off x="10306322" y="52578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91440</xdr:colOff>
      <xdr:row>5</xdr:row>
      <xdr:rowOff>144532</xdr:rowOff>
    </xdr:from>
    <xdr:to>
      <xdr:col>13</xdr:col>
      <xdr:colOff>137160</xdr:colOff>
      <xdr:row>10</xdr:row>
      <xdr:rowOff>68332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7960" y="105893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148862</xdr:colOff>
      <xdr:row>1</xdr:row>
      <xdr:rowOff>121920</xdr:rowOff>
    </xdr:from>
    <xdr:to>
      <xdr:col>13</xdr:col>
      <xdr:colOff>542324</xdr:colOff>
      <xdr:row>5</xdr:row>
      <xdr:rowOff>67290</xdr:rowOff>
    </xdr:to>
    <xdr:sp macro="" textlink="">
      <xdr:nvSpPr>
        <xdr:cNvPr id="4" name="Bulle ronde 3"/>
        <xdr:cNvSpPr/>
      </xdr:nvSpPr>
      <xdr:spPr>
        <a:xfrm rot="366700">
          <a:off x="10405382" y="30480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14</xdr:col>
      <xdr:colOff>586740</xdr:colOff>
      <xdr:row>30</xdr:row>
      <xdr:rowOff>160020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434340</xdr:colOff>
      <xdr:row>15</xdr:row>
      <xdr:rowOff>75952</xdr:rowOff>
    </xdr:from>
    <xdr:to>
      <xdr:col>13</xdr:col>
      <xdr:colOff>480060</xdr:colOff>
      <xdr:row>19</xdr:row>
      <xdr:rowOff>182632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6520" y="281915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490462</xdr:colOff>
      <xdr:row>11</xdr:row>
      <xdr:rowOff>56211</xdr:rowOff>
    </xdr:from>
    <xdr:to>
      <xdr:col>14</xdr:col>
      <xdr:colOff>146521</xdr:colOff>
      <xdr:row>15</xdr:row>
      <xdr:rowOff>15431</xdr:rowOff>
    </xdr:to>
    <xdr:sp macro="" textlink="">
      <xdr:nvSpPr>
        <xdr:cNvPr id="4" name="Bulle ronde 3"/>
        <xdr:cNvSpPr/>
      </xdr:nvSpPr>
      <xdr:spPr>
        <a:xfrm rot="366700">
          <a:off x="9958312" y="2151711"/>
          <a:ext cx="1180059" cy="72122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502920</xdr:colOff>
      <xdr:row>6</xdr:row>
      <xdr:rowOff>45472</xdr:rowOff>
    </xdr:from>
    <xdr:to>
      <xdr:col>12</xdr:col>
      <xdr:colOff>548640</xdr:colOff>
      <xdr:row>10</xdr:row>
      <xdr:rowOff>152152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780" y="114275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558482</xdr:colOff>
      <xdr:row>2</xdr:row>
      <xdr:rowOff>26676</xdr:rowOff>
    </xdr:from>
    <xdr:to>
      <xdr:col>13</xdr:col>
      <xdr:colOff>232805</xdr:colOff>
      <xdr:row>5</xdr:row>
      <xdr:rowOff>185936</xdr:rowOff>
    </xdr:to>
    <xdr:sp macro="" textlink="">
      <xdr:nvSpPr>
        <xdr:cNvPr id="4" name="Bulle ronde 3"/>
        <xdr:cNvSpPr/>
      </xdr:nvSpPr>
      <xdr:spPr>
        <a:xfrm rot="366700">
          <a:off x="9388157" y="407676"/>
          <a:ext cx="1198323" cy="73076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647700</xdr:colOff>
      <xdr:row>6</xdr:row>
      <xdr:rowOff>7372</xdr:rowOff>
    </xdr:from>
    <xdr:to>
      <xdr:col>12</xdr:col>
      <xdr:colOff>693420</xdr:colOff>
      <xdr:row>10</xdr:row>
      <xdr:rowOff>114052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4560" y="110465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702723</xdr:colOff>
      <xdr:row>1</xdr:row>
      <xdr:rowOff>170896</xdr:rowOff>
    </xdr:from>
    <xdr:to>
      <xdr:col>13</xdr:col>
      <xdr:colOff>367101</xdr:colOff>
      <xdr:row>5</xdr:row>
      <xdr:rowOff>157942</xdr:rowOff>
    </xdr:to>
    <xdr:sp macro="" textlink="">
      <xdr:nvSpPr>
        <xdr:cNvPr id="4" name="Bulle ronde 3"/>
        <xdr:cNvSpPr/>
      </xdr:nvSpPr>
      <xdr:spPr>
        <a:xfrm rot="366700">
          <a:off x="9532398" y="361396"/>
          <a:ext cx="1188378" cy="749046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518160</xdr:colOff>
      <xdr:row>6</xdr:row>
      <xdr:rowOff>22612</xdr:rowOff>
    </xdr:from>
    <xdr:to>
      <xdr:col>12</xdr:col>
      <xdr:colOff>563880</xdr:colOff>
      <xdr:row>10</xdr:row>
      <xdr:rowOff>129292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5020" y="11198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573929</xdr:colOff>
      <xdr:row>2</xdr:row>
      <xdr:rowOff>1974</xdr:rowOff>
    </xdr:from>
    <xdr:to>
      <xdr:col>13</xdr:col>
      <xdr:colOff>213549</xdr:colOff>
      <xdr:row>5</xdr:row>
      <xdr:rowOff>159202</xdr:rowOff>
    </xdr:to>
    <xdr:sp macro="" textlink="">
      <xdr:nvSpPr>
        <xdr:cNvPr id="4" name="Bulle ronde 3"/>
        <xdr:cNvSpPr/>
      </xdr:nvSpPr>
      <xdr:spPr>
        <a:xfrm rot="366700">
          <a:off x="9403604" y="382974"/>
          <a:ext cx="1163620" cy="728728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662940</xdr:colOff>
      <xdr:row>6</xdr:row>
      <xdr:rowOff>7372</xdr:rowOff>
    </xdr:from>
    <xdr:to>
      <xdr:col>12</xdr:col>
      <xdr:colOff>708660</xdr:colOff>
      <xdr:row>10</xdr:row>
      <xdr:rowOff>114052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110465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720362</xdr:colOff>
      <xdr:row>1</xdr:row>
      <xdr:rowOff>167640</xdr:rowOff>
    </xdr:from>
    <xdr:to>
      <xdr:col>13</xdr:col>
      <xdr:colOff>321344</xdr:colOff>
      <xdr:row>5</xdr:row>
      <xdr:rowOff>113010</xdr:rowOff>
    </xdr:to>
    <xdr:sp macro="" textlink="">
      <xdr:nvSpPr>
        <xdr:cNvPr id="4" name="Bulle ronde 3"/>
        <xdr:cNvSpPr/>
      </xdr:nvSpPr>
      <xdr:spPr>
        <a:xfrm rot="366700">
          <a:off x="9887222" y="35052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579120</xdr:colOff>
      <xdr:row>27</xdr:row>
      <xdr:rowOff>60960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518160</xdr:colOff>
      <xdr:row>6</xdr:row>
      <xdr:rowOff>22612</xdr:rowOff>
    </xdr:from>
    <xdr:to>
      <xdr:col>12</xdr:col>
      <xdr:colOff>563880</xdr:colOff>
      <xdr:row>10</xdr:row>
      <xdr:rowOff>129292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5020" y="11198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575582</xdr:colOff>
      <xdr:row>2</xdr:row>
      <xdr:rowOff>0</xdr:rowOff>
    </xdr:from>
    <xdr:to>
      <xdr:col>13</xdr:col>
      <xdr:colOff>176564</xdr:colOff>
      <xdr:row>5</xdr:row>
      <xdr:rowOff>128250</xdr:rowOff>
    </xdr:to>
    <xdr:sp macro="" textlink="">
      <xdr:nvSpPr>
        <xdr:cNvPr id="4" name="Bulle ronde 3"/>
        <xdr:cNvSpPr/>
      </xdr:nvSpPr>
      <xdr:spPr>
        <a:xfrm rot="366700">
          <a:off x="9742442" y="36576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647700</xdr:colOff>
      <xdr:row>5</xdr:row>
      <xdr:rowOff>167392</xdr:rowOff>
    </xdr:from>
    <xdr:to>
      <xdr:col>12</xdr:col>
      <xdr:colOff>693420</xdr:colOff>
      <xdr:row>10</xdr:row>
      <xdr:rowOff>91192</xdr:rowOff>
    </xdr:to>
    <xdr:pic>
      <xdr:nvPicPr>
        <xdr:cNvPr id="3" name="Imag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4560" y="10817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705122</xdr:colOff>
      <xdr:row>1</xdr:row>
      <xdr:rowOff>144780</xdr:rowOff>
    </xdr:from>
    <xdr:to>
      <xdr:col>13</xdr:col>
      <xdr:colOff>306104</xdr:colOff>
      <xdr:row>5</xdr:row>
      <xdr:rowOff>90150</xdr:rowOff>
    </xdr:to>
    <xdr:sp macro="" textlink="">
      <xdr:nvSpPr>
        <xdr:cNvPr id="4" name="Bulle ronde 3"/>
        <xdr:cNvSpPr/>
      </xdr:nvSpPr>
      <xdr:spPr>
        <a:xfrm rot="366700">
          <a:off x="9871982" y="32766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u.osmfr.org/m/980627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1"/>
  </sheetPr>
  <dimension ref="A1:C19"/>
  <sheetViews>
    <sheetView tabSelected="1" workbookViewId="0"/>
  </sheetViews>
  <sheetFormatPr baseColWidth="10" defaultColWidth="11.42578125" defaultRowHeight="15" x14ac:dyDescent="0.25"/>
  <cols>
    <col min="2" max="2" width="41" customWidth="1"/>
    <col min="3" max="3" width="6.5703125" customWidth="1"/>
  </cols>
  <sheetData>
    <row r="1" spans="1:3" x14ac:dyDescent="0.25">
      <c r="B1" s="2" t="s">
        <v>25</v>
      </c>
      <c r="C1" s="1">
        <v>1</v>
      </c>
    </row>
    <row r="2" spans="1:3" x14ac:dyDescent="0.25">
      <c r="A2" s="8" t="s">
        <v>44</v>
      </c>
      <c r="B2" s="2" t="s">
        <v>26</v>
      </c>
      <c r="C2" s="1">
        <v>2</v>
      </c>
    </row>
    <row r="3" spans="1:3" x14ac:dyDescent="0.25">
      <c r="A3" s="8"/>
      <c r="B3" s="2" t="s">
        <v>27</v>
      </c>
      <c r="C3" s="1">
        <v>3</v>
      </c>
    </row>
    <row r="4" spans="1:3" x14ac:dyDescent="0.25">
      <c r="A4" s="8"/>
      <c r="B4" s="2" t="s">
        <v>28</v>
      </c>
      <c r="C4" s="1">
        <v>4</v>
      </c>
    </row>
    <row r="5" spans="1:3" x14ac:dyDescent="0.25">
      <c r="A5" s="8"/>
      <c r="B5" s="2" t="s">
        <v>29</v>
      </c>
      <c r="C5" s="1">
        <v>5</v>
      </c>
    </row>
    <row r="6" spans="1:3" x14ac:dyDescent="0.25">
      <c r="A6" s="8" t="s">
        <v>45</v>
      </c>
      <c r="B6" s="2" t="s">
        <v>30</v>
      </c>
      <c r="C6" s="1">
        <v>6</v>
      </c>
    </row>
    <row r="7" spans="1:3" x14ac:dyDescent="0.25">
      <c r="A7" s="8"/>
      <c r="B7" s="2" t="s">
        <v>31</v>
      </c>
      <c r="C7" s="1">
        <v>7</v>
      </c>
    </row>
    <row r="8" spans="1:3" x14ac:dyDescent="0.25">
      <c r="A8" s="8"/>
      <c r="B8" s="2" t="s">
        <v>32</v>
      </c>
      <c r="C8" s="1">
        <v>8</v>
      </c>
    </row>
    <row r="9" spans="1:3" x14ac:dyDescent="0.25">
      <c r="A9" s="8"/>
      <c r="B9" s="2" t="s">
        <v>33</v>
      </c>
      <c r="C9" s="1">
        <v>9</v>
      </c>
    </row>
    <row r="10" spans="1:3" x14ac:dyDescent="0.25">
      <c r="A10" s="1" t="s">
        <v>46</v>
      </c>
      <c r="B10" s="2" t="s">
        <v>34</v>
      </c>
      <c r="C10" s="1">
        <v>10</v>
      </c>
    </row>
    <row r="11" spans="1:3" x14ac:dyDescent="0.25">
      <c r="A11" s="9" t="s">
        <v>49</v>
      </c>
      <c r="B11" s="2" t="s">
        <v>35</v>
      </c>
      <c r="C11" s="1">
        <v>11</v>
      </c>
    </row>
    <row r="12" spans="1:3" x14ac:dyDescent="0.25">
      <c r="A12" s="9"/>
      <c r="B12" s="2" t="s">
        <v>36</v>
      </c>
      <c r="C12" s="1">
        <v>12</v>
      </c>
    </row>
    <row r="13" spans="1:3" x14ac:dyDescent="0.25">
      <c r="A13" s="9"/>
      <c r="B13" s="2" t="s">
        <v>37</v>
      </c>
      <c r="C13" s="1">
        <v>13</v>
      </c>
    </row>
    <row r="14" spans="1:3" x14ac:dyDescent="0.25">
      <c r="A14" s="9"/>
      <c r="B14" s="2" t="s">
        <v>38</v>
      </c>
      <c r="C14" s="1">
        <v>14</v>
      </c>
    </row>
    <row r="15" spans="1:3" ht="14.45" customHeight="1" x14ac:dyDescent="0.25">
      <c r="A15" s="10" t="s">
        <v>50</v>
      </c>
      <c r="B15" s="2" t="s">
        <v>39</v>
      </c>
      <c r="C15" s="1">
        <v>15</v>
      </c>
    </row>
    <row r="16" spans="1:3" x14ac:dyDescent="0.25">
      <c r="A16" s="11"/>
      <c r="B16" s="2" t="s">
        <v>40</v>
      </c>
      <c r="C16" s="1">
        <v>16</v>
      </c>
    </row>
    <row r="17" spans="1:3" x14ac:dyDescent="0.25">
      <c r="A17" s="8" t="s">
        <v>47</v>
      </c>
      <c r="B17" s="2" t="s">
        <v>41</v>
      </c>
      <c r="C17" s="1">
        <v>17</v>
      </c>
    </row>
    <row r="18" spans="1:3" x14ac:dyDescent="0.25">
      <c r="A18" s="8"/>
      <c r="B18" s="2" t="s">
        <v>42</v>
      </c>
      <c r="C18" s="1">
        <v>18</v>
      </c>
    </row>
    <row r="19" spans="1:3" x14ac:dyDescent="0.25">
      <c r="A19" s="1" t="s">
        <v>48</v>
      </c>
      <c r="B19" s="2" t="s">
        <v>43</v>
      </c>
      <c r="C19" s="1">
        <v>19</v>
      </c>
    </row>
  </sheetData>
  <mergeCells count="5">
    <mergeCell ref="A2:A5"/>
    <mergeCell ref="A6:A9"/>
    <mergeCell ref="A11:A14"/>
    <mergeCell ref="A15:A16"/>
    <mergeCell ref="A17:A18"/>
  </mergeCells>
  <hyperlinks>
    <hyperlink ref="B1" location="'Lien carto'!A1" display="Lien carto"/>
    <hyperlink ref="B3" location="'Lez Amont-231121-LEZ-01-B (2)'!A1" display="Lez Amont-231121-LEZ-01-B (2)"/>
    <hyperlink ref="B2" location="'Lez Amont-231121-LEZ-01 (1)'!A1" display="Lez Amont-231121-LEZ-01 (1)"/>
    <hyperlink ref="B4" location="'Lez Amont-231211-LEZ-08 (13)'!A1" display="Lez Amont-231211-LEZ-08 (13)"/>
    <hyperlink ref="B5" location="'Lez Amont-231211-LEZ-08-B (14)'!A1" display="Lez Amont-231211-LEZ-08-B (14)"/>
    <hyperlink ref="B6" location="'Tanneries-231128-LEZ-02 (3)'!A1" display="Tanneries-231128-LEZ-02 (3)"/>
    <hyperlink ref="B7" location="'Tanneries-231206-LEZ-06 (7)'!A1" display="Tanneries-231206-LEZ-06 (7)"/>
    <hyperlink ref="B8" location="'Tanneries-231206-LEZ-06-Bis (8)'!A1" display="Tanneries-231206-LEZ-06-Bis (8)"/>
    <hyperlink ref="B9" location="'Tanneries-231206-LEZ-06-Ter (9)'!A1" display="Tanneries-231206-LEZ-06-Ter (9)"/>
    <hyperlink ref="B10" location="'Lavalette-231129-LEZ-03 (4)'!A1" display="Lavalette-231129-LEZ-03 (4)"/>
    <hyperlink ref="B11" location="'Clinique-231130-LEZ-04 (5)'!A1" display="Clinique-231130-LEZ-04 (5)"/>
    <hyperlink ref="B12" location="'Clinique-231207-LEZ-07 (10) '!A1" display="Clinique-231207-LEZ-07 (10) "/>
    <hyperlink ref="B13" location="'Clinique-231207-LEZ-07-Bis (11)'!A1" display="Clinique-231207-LEZ-07-Bis (11)"/>
    <hyperlink ref="B14" location="'Clinique-231207-LEZ-07-Ter (12)'!A1" display="Clinique-231207-LEZ-07-Ter (12)"/>
    <hyperlink ref="B15" location="'HdR-231201-LEZ-05 (6)'!A1" display="HdR-231201-LEZ-05 (6)"/>
    <hyperlink ref="B16" location="'HdR-231214-LEZ-09 (15)'!A1" display="HdR-231214-LEZ-09 (15)"/>
    <hyperlink ref="B17" location="'Lez Aval-231228-LEZ-11 (17)'!A1" display="Lez Aval-231228-LEZ-11 (17)"/>
    <hyperlink ref="B18" location="'Lez Aval-231228-LEZ-11-B (18)'!A1" display="Lez Aval-231228-LEZ-11-B (18)"/>
    <hyperlink ref="B19" location="'Lirou-231221-LIROU-10 (16)'!A1" display="Lirou-231221-LIROU-10 (16)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K12"/>
  <sheetViews>
    <sheetView workbookViewId="0">
      <selection activeCell="G16" sqref="G16"/>
    </sheetView>
  </sheetViews>
  <sheetFormatPr baseColWidth="10" defaultRowHeight="15" x14ac:dyDescent="0.25"/>
  <sheetData>
    <row r="1" spans="1:11" ht="15" customHeight="1" thickBot="1" x14ac:dyDescent="0.3">
      <c r="B1" s="15"/>
      <c r="C1" s="15"/>
      <c r="D1" s="15"/>
      <c r="E1" s="15"/>
    </row>
    <row r="2" spans="1:11" ht="15" customHeight="1" x14ac:dyDescent="0.25">
      <c r="A2" s="15"/>
      <c r="B2" s="13" t="s">
        <v>0</v>
      </c>
      <c r="C2" s="17"/>
      <c r="D2" s="17"/>
      <c r="E2" s="18"/>
      <c r="G2" s="7"/>
    </row>
    <row r="3" spans="1:11" ht="15" customHeight="1" x14ac:dyDescent="0.25">
      <c r="A3" s="15"/>
      <c r="B3" s="19"/>
      <c r="C3" s="16"/>
      <c r="D3" s="16"/>
      <c r="E3" s="20"/>
      <c r="G3" s="7"/>
    </row>
    <row r="4" spans="1:11" ht="15" customHeight="1" x14ac:dyDescent="0.25">
      <c r="A4" s="15"/>
      <c r="B4" s="19"/>
      <c r="C4" s="16"/>
      <c r="D4" s="16"/>
      <c r="E4" s="20"/>
      <c r="G4" s="7"/>
    </row>
    <row r="5" spans="1:11" ht="15.75" customHeight="1" thickBot="1" x14ac:dyDescent="0.3">
      <c r="A5" s="15"/>
      <c r="B5" s="21"/>
      <c r="C5" s="22"/>
      <c r="D5" s="22"/>
      <c r="E5" s="23"/>
    </row>
    <row r="10" spans="1:11" x14ac:dyDescent="0.25">
      <c r="K10" s="14"/>
    </row>
    <row r="12" spans="1:11" ht="21" x14ac:dyDescent="0.25">
      <c r="G12" s="4"/>
    </row>
  </sheetData>
  <mergeCells count="1">
    <mergeCell ref="B2:E5"/>
  </mergeCells>
  <hyperlinks>
    <hyperlink ref="B2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1:K20"/>
  <sheetViews>
    <sheetView workbookViewId="0"/>
  </sheetViews>
  <sheetFormatPr baseColWidth="10" defaultRowHeight="15" x14ac:dyDescent="0.25"/>
  <cols>
    <col min="1" max="1" width="18" customWidth="1"/>
  </cols>
  <sheetData>
    <row r="1" spans="1:11" x14ac:dyDescent="0.25">
      <c r="A1" s="3" t="s">
        <v>1</v>
      </c>
      <c r="B1" s="3">
        <v>209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3" spans="1:11" x14ac:dyDescent="0.25">
      <c r="F13" s="3"/>
    </row>
    <row r="14" spans="1:11" x14ac:dyDescent="0.25">
      <c r="F14" s="3"/>
    </row>
    <row r="15" spans="1:11" x14ac:dyDescent="0.25">
      <c r="F15" s="3"/>
    </row>
    <row r="16" spans="1:11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B7:B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C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0000"/>
  </sheetPr>
  <dimension ref="A1:P20"/>
  <sheetViews>
    <sheetView workbookViewId="0">
      <selection activeCell="A19" sqref="A19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1</v>
      </c>
      <c r="B1" s="3">
        <v>22.449000000000002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2</v>
      </c>
      <c r="B2" s="3">
        <v>18.3673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 t="s">
        <v>3</v>
      </c>
      <c r="B3" s="3">
        <v>18.3673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P20"/>
  <sheetViews>
    <sheetView workbookViewId="0">
      <selection activeCell="A6" sqref="A6"/>
    </sheetView>
  </sheetViews>
  <sheetFormatPr baseColWidth="10" defaultRowHeight="15" x14ac:dyDescent="0.25"/>
  <cols>
    <col min="1" max="1" width="21.7109375" customWidth="1"/>
  </cols>
  <sheetData>
    <row r="1" spans="1:16" x14ac:dyDescent="0.25">
      <c r="A1" s="3" t="s">
        <v>4</v>
      </c>
      <c r="B1" s="3">
        <v>79.154899999999998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2</v>
      </c>
      <c r="B2" s="3">
        <v>3.9436599999999999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5" t="s">
        <v>61</v>
      </c>
      <c r="B3" s="3">
        <v>3.0985900000000002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5" t="s">
        <v>5</v>
      </c>
      <c r="B4" s="3">
        <v>3.0985900000000002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 t="s">
        <v>6</v>
      </c>
      <c r="B5" s="3">
        <v>1.40845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 t="s">
        <v>3</v>
      </c>
      <c r="B6" s="3">
        <v>3.9436599999999999</v>
      </c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P20"/>
  <sheetViews>
    <sheetView workbookViewId="0">
      <selection sqref="A1:E5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7</v>
      </c>
      <c r="B1" s="3">
        <v>31.25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92D050"/>
  </sheetPr>
  <dimension ref="A1:P20"/>
  <sheetViews>
    <sheetView workbookViewId="0">
      <selection activeCell="A3" sqref="A3"/>
    </sheetView>
  </sheetViews>
  <sheetFormatPr baseColWidth="10" defaultRowHeight="15" x14ac:dyDescent="0.25"/>
  <cols>
    <col min="1" max="1" width="20" customWidth="1"/>
  </cols>
  <sheetData>
    <row r="1" spans="1:16" x14ac:dyDescent="0.25">
      <c r="A1" s="3" t="s">
        <v>8</v>
      </c>
      <c r="B1" s="3">
        <v>63.855400000000003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59</v>
      </c>
      <c r="B2" s="3">
        <v>6.0240999999999998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 t="s">
        <v>62</v>
      </c>
      <c r="B3" s="3">
        <v>10.843400000000001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A17" s="3"/>
      <c r="B17" s="3"/>
      <c r="F17" s="3"/>
    </row>
    <row r="18" spans="1:6" x14ac:dyDescent="0.25">
      <c r="A18" s="3"/>
      <c r="B18" s="3"/>
      <c r="F18" s="3"/>
    </row>
    <row r="19" spans="1:6" x14ac:dyDescent="0.25">
      <c r="A19" s="3"/>
      <c r="B19" s="3"/>
      <c r="D19" s="3"/>
      <c r="E19" s="3"/>
    </row>
    <row r="20" spans="1:6" x14ac:dyDescent="0.25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92D050"/>
  </sheetPr>
  <dimension ref="A1:P26"/>
  <sheetViews>
    <sheetView workbookViewId="0">
      <selection activeCell="R14" sqref="R14"/>
    </sheetView>
  </sheetViews>
  <sheetFormatPr baseColWidth="10" defaultRowHeight="15" x14ac:dyDescent="0.25"/>
  <cols>
    <col min="1" max="1" width="19.7109375" customWidth="1"/>
  </cols>
  <sheetData>
    <row r="1" spans="1:16" x14ac:dyDescent="0.25">
      <c r="A1" s="12" t="s">
        <v>61</v>
      </c>
      <c r="B1" s="12">
        <v>42.4681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6</v>
      </c>
      <c r="B2" s="3">
        <v>0.57241799999999998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 t="s">
        <v>2</v>
      </c>
      <c r="B4" s="3">
        <v>27.4316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 t="s">
        <v>8</v>
      </c>
      <c r="B5" s="3">
        <v>8.3817199999999996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 t="s">
        <v>4</v>
      </c>
      <c r="B6" s="3">
        <v>7.8715900000000003</v>
      </c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 t="s">
        <v>9</v>
      </c>
      <c r="B7" s="3">
        <v>5.3440700000000001E-2</v>
      </c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A8" s="3" t="s">
        <v>3</v>
      </c>
      <c r="B8" s="3">
        <v>27.4316</v>
      </c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A9" s="3" t="s">
        <v>1</v>
      </c>
      <c r="B9" s="3">
        <v>7.0464599999999997</v>
      </c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 t="s">
        <v>10</v>
      </c>
      <c r="B10" s="3">
        <v>1.08876</v>
      </c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A17" s="3"/>
      <c r="B17" s="3"/>
      <c r="F17" s="3"/>
    </row>
    <row r="18" spans="1:6" x14ac:dyDescent="0.25">
      <c r="A18" s="3"/>
      <c r="B18" s="3"/>
      <c r="F18" s="3"/>
    </row>
    <row r="19" spans="1:6" x14ac:dyDescent="0.25">
      <c r="A19" s="3"/>
      <c r="B19" s="3"/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92D050"/>
  </sheetPr>
  <dimension ref="A1:P26"/>
  <sheetViews>
    <sheetView workbookViewId="0">
      <selection activeCell="C9" sqref="C9"/>
    </sheetView>
  </sheetViews>
  <sheetFormatPr baseColWidth="10" defaultRowHeight="15" x14ac:dyDescent="0.25"/>
  <cols>
    <col min="1" max="1" width="21.85546875" customWidth="1"/>
  </cols>
  <sheetData>
    <row r="1" spans="1:16" x14ac:dyDescent="0.25">
      <c r="A1" s="3" t="s">
        <v>11</v>
      </c>
      <c r="B1" s="3">
        <v>1.21444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8</v>
      </c>
      <c r="B2" s="3">
        <v>10.829499999999999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 t="s">
        <v>63</v>
      </c>
      <c r="B3" s="3">
        <v>24.801200000000001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 t="s">
        <v>64</v>
      </c>
      <c r="B4" s="3">
        <v>36.0244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 t="s">
        <v>65</v>
      </c>
      <c r="B5" s="3">
        <v>0.10021099999999999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A17" s="3"/>
      <c r="B17" s="3"/>
      <c r="F17" s="3"/>
    </row>
    <row r="18" spans="1:6" x14ac:dyDescent="0.25">
      <c r="A18" s="3"/>
      <c r="B18" s="3"/>
      <c r="F18" s="3"/>
    </row>
    <row r="19" spans="1:6" x14ac:dyDescent="0.25">
      <c r="A19" s="3"/>
      <c r="B19" s="3"/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92D050"/>
  </sheetPr>
  <dimension ref="A1:P26"/>
  <sheetViews>
    <sheetView workbookViewId="0">
      <selection activeCell="P17" sqref="P17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12</v>
      </c>
      <c r="B1" s="3">
        <v>84.883300000000006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65</v>
      </c>
      <c r="B2" s="3">
        <v>1.5660000000000001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 t="s">
        <v>60</v>
      </c>
      <c r="B3" s="3">
        <v>0.51134500000000005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 t="s">
        <v>13</v>
      </c>
      <c r="B4" s="3">
        <v>84.883300000000006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 t="s">
        <v>64</v>
      </c>
      <c r="B5" s="3">
        <v>0.63918200000000003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A16" s="3"/>
      <c r="B16" s="3"/>
      <c r="F16" s="3"/>
    </row>
    <row r="17" spans="1:6" x14ac:dyDescent="0.25">
      <c r="A17" s="3"/>
      <c r="B17" s="3"/>
      <c r="F17" s="3"/>
    </row>
    <row r="18" spans="1:6" x14ac:dyDescent="0.25">
      <c r="A18" s="3"/>
      <c r="B18" s="3"/>
      <c r="F18" s="3"/>
    </row>
    <row r="19" spans="1:6" x14ac:dyDescent="0.25">
      <c r="A19" s="3"/>
      <c r="B19" s="3"/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B050"/>
  </sheetPr>
  <dimension ref="A1:P26"/>
  <sheetViews>
    <sheetView workbookViewId="0">
      <selection activeCell="B11" sqref="B11"/>
    </sheetView>
  </sheetViews>
  <sheetFormatPr baseColWidth="10" defaultRowHeight="15" x14ac:dyDescent="0.25"/>
  <cols>
    <col min="1" max="1" width="20" customWidth="1"/>
  </cols>
  <sheetData>
    <row r="1" spans="1:16" x14ac:dyDescent="0.25">
      <c r="A1" s="3" t="s">
        <v>60</v>
      </c>
      <c r="B1" s="3">
        <v>49.277900000000002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66</v>
      </c>
      <c r="B2" s="3">
        <v>3.1408700000000001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5">
      <c r="A3" s="3" t="s">
        <v>14</v>
      </c>
      <c r="B3" s="3">
        <v>0.61677899999999997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5">
      <c r="A4" s="3" t="s">
        <v>59</v>
      </c>
      <c r="B4" s="3">
        <v>0.29848200000000003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5">
      <c r="A5" s="3" t="s">
        <v>15</v>
      </c>
      <c r="B5" s="3">
        <v>6.0687100000000001E-2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5">
      <c r="A6" s="3" t="s">
        <v>11</v>
      </c>
      <c r="B6" s="3">
        <v>4.1007199999999999</v>
      </c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5">
      <c r="A7" s="3" t="s">
        <v>16</v>
      </c>
      <c r="B7" s="3">
        <v>3.1408700000000001</v>
      </c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5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A17" s="3"/>
      <c r="B17" s="3"/>
      <c r="F17" s="3"/>
    </row>
    <row r="18" spans="1:6" x14ac:dyDescent="0.25">
      <c r="A18" s="3"/>
      <c r="B18" s="3"/>
      <c r="F18" s="3"/>
    </row>
    <row r="19" spans="1:6" x14ac:dyDescent="0.25">
      <c r="A19" s="3"/>
      <c r="B19" s="3"/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00B0F0"/>
  </sheetPr>
  <dimension ref="A1:K30"/>
  <sheetViews>
    <sheetView workbookViewId="0">
      <selection activeCell="Q18" sqref="Q18"/>
    </sheetView>
  </sheetViews>
  <sheetFormatPr baseColWidth="10" defaultRowHeight="15" x14ac:dyDescent="0.25"/>
  <cols>
    <col min="1" max="1" width="22.42578125" customWidth="1"/>
  </cols>
  <sheetData>
    <row r="1" spans="1:11" x14ac:dyDescent="0.25">
      <c r="A1" s="3" t="s">
        <v>6</v>
      </c>
      <c r="B1" s="3">
        <v>4.0475199999999996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A2" s="3" t="s">
        <v>17</v>
      </c>
      <c r="B2" s="3">
        <v>0.221025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25">
      <c r="A3" s="3" t="s">
        <v>51</v>
      </c>
      <c r="B3" s="3">
        <v>8.2746200000000005</v>
      </c>
      <c r="C3" s="3"/>
      <c r="D3" s="3"/>
      <c r="E3" s="3"/>
      <c r="F3" s="3"/>
      <c r="G3" s="3"/>
      <c r="H3" s="3"/>
      <c r="I3" s="3"/>
      <c r="J3" s="3"/>
      <c r="K3" s="3"/>
    </row>
    <row r="4" spans="1:11" x14ac:dyDescent="0.25">
      <c r="A4" s="3" t="s">
        <v>52</v>
      </c>
      <c r="B4" s="3">
        <v>0.64926099999999998</v>
      </c>
      <c r="C4" s="3"/>
      <c r="D4" s="3"/>
      <c r="E4" s="3"/>
      <c r="F4" s="3"/>
      <c r="G4" s="3"/>
      <c r="H4" s="3"/>
      <c r="I4" s="3"/>
      <c r="J4" s="3"/>
      <c r="K4" s="3"/>
    </row>
    <row r="5" spans="1:11" x14ac:dyDescent="0.25">
      <c r="A5" s="3" t="s">
        <v>8</v>
      </c>
      <c r="B5" s="3">
        <v>4.43431</v>
      </c>
      <c r="C5" s="3"/>
      <c r="D5" s="3"/>
      <c r="E5" s="3"/>
      <c r="F5" s="3"/>
      <c r="G5" s="3"/>
      <c r="H5" s="3"/>
      <c r="I5" s="3"/>
      <c r="J5" s="3"/>
      <c r="K5" s="3"/>
    </row>
    <row r="6" spans="1:11" x14ac:dyDescent="0.25">
      <c r="A6" s="3" t="s">
        <v>16</v>
      </c>
      <c r="B6" s="3">
        <v>8.2746200000000005</v>
      </c>
      <c r="C6" s="3"/>
      <c r="D6" s="3"/>
      <c r="E6" s="3"/>
      <c r="F6" s="3"/>
      <c r="G6" s="3"/>
      <c r="H6" s="3"/>
      <c r="I6" s="3"/>
      <c r="J6" s="3"/>
      <c r="K6" s="3"/>
    </row>
    <row r="7" spans="1:11" x14ac:dyDescent="0.25">
      <c r="A7" s="3" t="s">
        <v>53</v>
      </c>
      <c r="B7" s="3">
        <v>15.9</v>
      </c>
      <c r="C7" s="3"/>
      <c r="D7" s="3"/>
      <c r="E7" s="3"/>
      <c r="F7" s="3"/>
      <c r="G7" s="3"/>
      <c r="H7" s="3"/>
      <c r="I7" s="3"/>
      <c r="J7" s="3"/>
      <c r="K7" s="3"/>
    </row>
    <row r="8" spans="1:11" x14ac:dyDescent="0.25">
      <c r="A8" s="3" t="s">
        <v>54</v>
      </c>
      <c r="B8" s="3">
        <v>2.5417900000000002</v>
      </c>
      <c r="C8" s="3"/>
      <c r="D8" s="3"/>
      <c r="E8" s="3"/>
      <c r="F8" s="3"/>
      <c r="G8" s="3"/>
      <c r="H8" s="3"/>
      <c r="I8" s="3"/>
      <c r="J8" s="3"/>
      <c r="K8" s="3"/>
    </row>
    <row r="9" spans="1:11" x14ac:dyDescent="0.25">
      <c r="A9" s="3" t="s">
        <v>55</v>
      </c>
      <c r="B9" s="3">
        <v>3.4811399999999999</v>
      </c>
      <c r="C9" s="3"/>
      <c r="D9" s="3"/>
      <c r="E9" s="3"/>
      <c r="F9" s="3"/>
      <c r="G9" s="3"/>
      <c r="H9" s="3"/>
      <c r="I9" s="3"/>
      <c r="J9" s="3"/>
      <c r="K9" s="3"/>
    </row>
    <row r="13" spans="1:11" x14ac:dyDescent="0.25">
      <c r="F13" s="3"/>
    </row>
    <row r="14" spans="1:11" x14ac:dyDescent="0.25">
      <c r="F14" s="3"/>
    </row>
    <row r="15" spans="1:11" x14ac:dyDescent="0.25">
      <c r="F15" s="3"/>
    </row>
    <row r="16" spans="1:11" x14ac:dyDescent="0.25">
      <c r="F16" s="3"/>
    </row>
    <row r="17" spans="1:6" x14ac:dyDescent="0.25">
      <c r="F17" s="3"/>
    </row>
    <row r="18" spans="1:6" x14ac:dyDescent="0.25">
      <c r="F18" s="3"/>
    </row>
    <row r="19" spans="1:6" x14ac:dyDescent="0.25">
      <c r="D19" s="3"/>
      <c r="E19" s="3"/>
    </row>
    <row r="20" spans="1:6" x14ac:dyDescent="0.25"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  <row r="27" spans="1:6" x14ac:dyDescent="0.25">
      <c r="A27" s="3"/>
      <c r="B27" s="3"/>
    </row>
    <row r="28" spans="1:6" x14ac:dyDescent="0.25">
      <c r="A28" s="3"/>
      <c r="B28" s="3"/>
    </row>
    <row r="29" spans="1:6" x14ac:dyDescent="0.25">
      <c r="A29" s="3"/>
      <c r="B29" s="3"/>
    </row>
    <row r="30" spans="1:6" x14ac:dyDescent="0.25">
      <c r="A30" s="3"/>
      <c r="B3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00B0F0"/>
  </sheetPr>
  <dimension ref="A1:K20"/>
  <sheetViews>
    <sheetView workbookViewId="0">
      <selection activeCell="A5" sqref="A5"/>
    </sheetView>
  </sheetViews>
  <sheetFormatPr baseColWidth="10" defaultRowHeight="15" x14ac:dyDescent="0.25"/>
  <cols>
    <col min="1" max="1" width="22.42578125" customWidth="1"/>
  </cols>
  <sheetData>
    <row r="1" spans="1:11" x14ac:dyDescent="0.25">
      <c r="A1" s="3" t="s">
        <v>8</v>
      </c>
      <c r="B1" s="3">
        <v>11.2662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A2" s="3" t="s">
        <v>53</v>
      </c>
      <c r="B2" s="3">
        <v>6.6799600000000003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25">
      <c r="A3" s="3" t="s">
        <v>51</v>
      </c>
      <c r="B3" s="3">
        <v>5.18445</v>
      </c>
      <c r="C3" s="3"/>
      <c r="D3" s="3"/>
      <c r="E3" s="3"/>
      <c r="F3" s="3"/>
      <c r="G3" s="3"/>
      <c r="H3" s="3"/>
      <c r="I3" s="3"/>
      <c r="J3" s="3"/>
      <c r="K3" s="3"/>
    </row>
    <row r="4" spans="1:11" x14ac:dyDescent="0.25">
      <c r="A4" s="3" t="s">
        <v>56</v>
      </c>
      <c r="B4" s="3">
        <v>1.59521</v>
      </c>
      <c r="C4" s="3"/>
      <c r="D4" s="3"/>
      <c r="E4" s="3"/>
      <c r="F4" s="3"/>
      <c r="G4" s="3"/>
      <c r="H4" s="3"/>
      <c r="I4" s="3"/>
      <c r="J4" s="3"/>
      <c r="K4" s="3"/>
    </row>
    <row r="5" spans="1:11" x14ac:dyDescent="0.25">
      <c r="A5" s="3" t="s">
        <v>54</v>
      </c>
      <c r="B5" s="3">
        <v>52.941200000000002</v>
      </c>
      <c r="C5" s="3"/>
      <c r="D5" s="3"/>
      <c r="E5" s="3"/>
      <c r="F5" s="3"/>
      <c r="G5" s="3"/>
      <c r="H5" s="3"/>
      <c r="I5" s="3"/>
      <c r="J5" s="3"/>
      <c r="K5" s="3"/>
    </row>
    <row r="6" spans="1:11" x14ac:dyDescent="0.25">
      <c r="A6" s="3" t="s">
        <v>16</v>
      </c>
      <c r="B6" s="3">
        <v>5.18445</v>
      </c>
      <c r="C6" s="3"/>
      <c r="D6" s="3"/>
      <c r="E6" s="3"/>
      <c r="F6" s="3"/>
      <c r="G6" s="3"/>
      <c r="H6" s="3"/>
      <c r="I6" s="3"/>
      <c r="J6" s="3"/>
      <c r="K6" s="3"/>
    </row>
    <row r="7" spans="1:1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3" spans="1:11" x14ac:dyDescent="0.25">
      <c r="F13" s="3"/>
    </row>
    <row r="14" spans="1:11" x14ac:dyDescent="0.25">
      <c r="F14" s="3"/>
    </row>
    <row r="15" spans="1:11" x14ac:dyDescent="0.25">
      <c r="F15" s="3"/>
    </row>
    <row r="16" spans="1:11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B7:B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F0"/>
  </sheetPr>
  <dimension ref="A1:Q24"/>
  <sheetViews>
    <sheetView workbookViewId="0">
      <selection activeCell="A8" sqref="A8"/>
    </sheetView>
  </sheetViews>
  <sheetFormatPr baseColWidth="10" defaultRowHeight="15" x14ac:dyDescent="0.25"/>
  <cols>
    <col min="1" max="1" width="16" customWidth="1"/>
    <col min="2" max="2" width="11.7109375" customWidth="1"/>
  </cols>
  <sheetData>
    <row r="1" spans="1:17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7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7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7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7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7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P8" s="3"/>
      <c r="Q8" s="3"/>
    </row>
    <row r="9" spans="1:17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P9" s="3"/>
      <c r="Q9" s="3"/>
    </row>
    <row r="10" spans="1:17" x14ac:dyDescent="0.25">
      <c r="A10" s="3" t="s">
        <v>53</v>
      </c>
      <c r="B10" s="3">
        <v>0.220443</v>
      </c>
      <c r="P10" s="3"/>
      <c r="Q10" s="3"/>
    </row>
    <row r="11" spans="1:17" x14ac:dyDescent="0.25">
      <c r="A11" s="3" t="s">
        <v>57</v>
      </c>
      <c r="B11" s="3">
        <v>0.84487400000000001</v>
      </c>
    </row>
    <row r="12" spans="1:17" x14ac:dyDescent="0.25">
      <c r="A12" s="3"/>
      <c r="B12" s="3"/>
    </row>
    <row r="13" spans="1:17" x14ac:dyDescent="0.25">
      <c r="A13" s="3" t="s">
        <v>55</v>
      </c>
      <c r="B13" s="3">
        <v>1.1697500000000001</v>
      </c>
      <c r="F13" s="3"/>
    </row>
    <row r="14" spans="1:17" x14ac:dyDescent="0.25">
      <c r="A14" s="3" t="s">
        <v>51</v>
      </c>
      <c r="B14" s="3">
        <v>1.39489</v>
      </c>
      <c r="F14" s="3"/>
    </row>
    <row r="15" spans="1:17" x14ac:dyDescent="0.25">
      <c r="A15" s="3" t="s">
        <v>16</v>
      </c>
      <c r="B15" s="3">
        <v>1.39489</v>
      </c>
      <c r="F15" s="3"/>
    </row>
    <row r="16" spans="1:17" x14ac:dyDescent="0.25">
      <c r="A16" s="3" t="s">
        <v>1</v>
      </c>
      <c r="B16" s="3">
        <v>1.9924299999999999</v>
      </c>
      <c r="F16" s="3"/>
    </row>
    <row r="17" spans="1:6" x14ac:dyDescent="0.25">
      <c r="A17" s="3" t="s">
        <v>56</v>
      </c>
      <c r="B17" s="3">
        <v>5.3806799999999999</v>
      </c>
      <c r="F17" s="3"/>
    </row>
    <row r="18" spans="1:6" x14ac:dyDescent="0.25">
      <c r="A18" s="3" t="s">
        <v>54</v>
      </c>
      <c r="B18" s="3">
        <v>15.068</v>
      </c>
      <c r="F18" s="3"/>
    </row>
    <row r="19" spans="1:6" x14ac:dyDescent="0.25">
      <c r="A19" s="3" t="s">
        <v>8</v>
      </c>
      <c r="B19" s="3">
        <v>57.914200000000001</v>
      </c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00B0F0"/>
  </sheetPr>
  <dimension ref="A1:P20"/>
  <sheetViews>
    <sheetView workbookViewId="0">
      <selection activeCell="B13" sqref="B13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18</v>
      </c>
      <c r="B1" s="3">
        <v>47.174100000000003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58</v>
      </c>
      <c r="B2" s="3">
        <v>10.8256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5">
      <c r="A3" s="3" t="s">
        <v>19</v>
      </c>
      <c r="B3" s="3">
        <v>6.8671699999999998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5">
      <c r="A4" s="3" t="s">
        <v>60</v>
      </c>
      <c r="B4" s="3">
        <v>6.7922799999999999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5">
      <c r="A5" s="3" t="s">
        <v>65</v>
      </c>
      <c r="B5" s="3">
        <v>0.74906300000000003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5">
      <c r="A6" s="3" t="s">
        <v>20</v>
      </c>
      <c r="B6" s="3">
        <v>1.1701700000000001E-2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5">
      <c r="A7" s="3" t="s">
        <v>21</v>
      </c>
      <c r="B7" s="3">
        <v>6.8671699999999998</v>
      </c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5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0070C0"/>
  </sheetPr>
  <dimension ref="A1:P25"/>
  <sheetViews>
    <sheetView workbookViewId="0">
      <selection activeCell="B12" sqref="B12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6" t="s">
        <v>20</v>
      </c>
      <c r="B1" s="3">
        <v>21.83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6" t="s">
        <v>59</v>
      </c>
      <c r="B2" s="3">
        <v>0.15348300000000001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5">
      <c r="A3" s="6" t="s">
        <v>18</v>
      </c>
      <c r="B3" s="3">
        <v>48.642299999999999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5">
      <c r="A4" s="6" t="s">
        <v>51</v>
      </c>
      <c r="B4" s="3">
        <v>0.56670600000000004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5">
      <c r="A5" s="6" t="s">
        <v>16</v>
      </c>
      <c r="B5" s="3">
        <v>0.56670600000000004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5">
      <c r="A6" s="6" t="s">
        <v>53</v>
      </c>
      <c r="B6" s="3">
        <v>0.678867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5">
      <c r="A7" s="6" t="s">
        <v>56</v>
      </c>
      <c r="B7" s="3">
        <v>0.89138099999999998</v>
      </c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F17" s="3"/>
    </row>
    <row r="18" spans="1:6" x14ac:dyDescent="0.25">
      <c r="F18" s="3"/>
    </row>
    <row r="19" spans="1:6" x14ac:dyDescent="0.25">
      <c r="A19" s="3"/>
      <c r="B19" s="3"/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0070C0"/>
  </sheetPr>
  <dimension ref="A1:P20"/>
  <sheetViews>
    <sheetView workbookViewId="0">
      <selection activeCell="A7" sqref="A7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19</v>
      </c>
      <c r="B1" s="3">
        <v>35.333599999999997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58</v>
      </c>
      <c r="B2" s="3">
        <v>17.194700000000001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5">
      <c r="A3" s="3" t="s">
        <v>18</v>
      </c>
      <c r="B3" s="3">
        <v>16.038499999999999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5">
      <c r="A4" s="3" t="s">
        <v>8</v>
      </c>
      <c r="B4" s="3">
        <v>3.8320400000000001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5">
      <c r="A5" s="3" t="s">
        <v>53</v>
      </c>
      <c r="B5" s="3">
        <v>1.03938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5">
      <c r="A6" s="3" t="s">
        <v>21</v>
      </c>
      <c r="B6" s="3">
        <v>35.333599999999997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5">
      <c r="A7" s="3" t="s">
        <v>55</v>
      </c>
      <c r="B7" s="3">
        <v>9.3508400000000005E-2</v>
      </c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5">
      <c r="A8" s="3" t="s">
        <v>56</v>
      </c>
      <c r="B8" s="3">
        <v>0.83258399999999999</v>
      </c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A10" s="3"/>
      <c r="B10" s="3"/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4:6" x14ac:dyDescent="0.25">
      <c r="F17" s="3"/>
    </row>
    <row r="18" spans="4:6" x14ac:dyDescent="0.25">
      <c r="F18" s="3"/>
    </row>
    <row r="19" spans="4:6" x14ac:dyDescent="0.25">
      <c r="D19" s="3"/>
      <c r="E19" s="3"/>
    </row>
    <row r="20" spans="4:6" x14ac:dyDescent="0.25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2" tint="-9.9978637043366805E-2"/>
  </sheetPr>
  <dimension ref="A1:P29"/>
  <sheetViews>
    <sheetView workbookViewId="0">
      <selection activeCell="A3" sqref="A3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58</v>
      </c>
      <c r="B1" s="3">
        <v>80.701300000000003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18</v>
      </c>
      <c r="B2" s="3">
        <v>4.4637799999999999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5">
      <c r="A3" s="3" t="s">
        <v>55</v>
      </c>
      <c r="B3" s="3">
        <v>1.82518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5">
      <c r="A4" s="3" t="s">
        <v>22</v>
      </c>
      <c r="B4" s="3">
        <v>8.86727E-3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5">
      <c r="A5" s="3"/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F17" s="3"/>
    </row>
    <row r="18" spans="1:6" x14ac:dyDescent="0.25">
      <c r="F18" s="3"/>
    </row>
    <row r="19" spans="1:6" x14ac:dyDescent="0.25"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  <row r="27" spans="1:6" x14ac:dyDescent="0.25">
      <c r="A27" s="3"/>
      <c r="B27" s="3"/>
    </row>
    <row r="28" spans="1:6" x14ac:dyDescent="0.25">
      <c r="A28" s="3"/>
      <c r="B28" s="3"/>
    </row>
    <row r="29" spans="1:6" x14ac:dyDescent="0.25">
      <c r="A29" s="3"/>
      <c r="B29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2" tint="-9.9978637043366805E-2"/>
  </sheetPr>
  <dimension ref="A1:P29"/>
  <sheetViews>
    <sheetView workbookViewId="0">
      <selection activeCell="A13" sqref="A13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59</v>
      </c>
      <c r="B1" s="3">
        <v>29.177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18</v>
      </c>
      <c r="B2" s="3">
        <v>22.9939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5">
      <c r="A3" s="3" t="s">
        <v>8</v>
      </c>
      <c r="B3" s="3">
        <v>13.4147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5">
      <c r="A4" s="3" t="s">
        <v>9</v>
      </c>
      <c r="B4" s="3">
        <v>8.9700399999999991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5">
      <c r="A5" s="3" t="s">
        <v>60</v>
      </c>
      <c r="B5" s="3">
        <v>2.4226100000000002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5">
      <c r="A6" s="3" t="s">
        <v>23</v>
      </c>
      <c r="B6" s="3">
        <v>0.72872899999999996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O10" s="3"/>
      <c r="P10" s="3"/>
    </row>
    <row r="11" spans="1:16" x14ac:dyDescent="0.25">
      <c r="A11" s="3"/>
      <c r="B11" s="3"/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A15" s="3"/>
      <c r="B15" s="3"/>
      <c r="F15" s="3"/>
      <c r="O15" s="3"/>
      <c r="P15" s="3"/>
    </row>
    <row r="16" spans="1:16" x14ac:dyDescent="0.25">
      <c r="A16" s="3"/>
      <c r="B16" s="3"/>
      <c r="F16" s="3"/>
    </row>
    <row r="17" spans="1:6" x14ac:dyDescent="0.25">
      <c r="A17" s="3"/>
      <c r="B17" s="3"/>
      <c r="F17" s="3"/>
    </row>
    <row r="18" spans="1:6" x14ac:dyDescent="0.25">
      <c r="A18" s="3"/>
      <c r="B18" s="3"/>
      <c r="F18" s="3"/>
    </row>
    <row r="19" spans="1:6" x14ac:dyDescent="0.25"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  <row r="27" spans="1:6" x14ac:dyDescent="0.25">
      <c r="A27" s="3"/>
      <c r="B27" s="3"/>
    </row>
    <row r="28" spans="1:6" x14ac:dyDescent="0.25">
      <c r="A28" s="3"/>
      <c r="B28" s="3"/>
    </row>
    <row r="29" spans="1:6" x14ac:dyDescent="0.25">
      <c r="A29" s="3"/>
      <c r="B29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P29"/>
  <sheetViews>
    <sheetView workbookViewId="0">
      <selection activeCell="A8" sqref="A8"/>
    </sheetView>
  </sheetViews>
  <sheetFormatPr baseColWidth="10" defaultRowHeight="15" x14ac:dyDescent="0.25"/>
  <cols>
    <col min="1" max="1" width="18.140625" customWidth="1"/>
  </cols>
  <sheetData>
    <row r="1" spans="1:16" x14ac:dyDescent="0.25">
      <c r="A1" s="3" t="s">
        <v>67</v>
      </c>
      <c r="B1" s="3">
        <v>94.282899999999998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5">
      <c r="A2" s="3" t="s">
        <v>2</v>
      </c>
      <c r="B2" s="3">
        <v>1.1149300000000001E-3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5">
      <c r="A3" s="3" t="s">
        <v>8</v>
      </c>
      <c r="B3" s="3">
        <v>0.451548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5">
      <c r="A4" s="3" t="s">
        <v>1</v>
      </c>
      <c r="B4" s="3">
        <v>1.02979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5">
      <c r="A5" s="3" t="s">
        <v>24</v>
      </c>
      <c r="B5" s="3">
        <v>4.8118199999999996E-3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5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5">
      <c r="O10" s="3"/>
      <c r="P10" s="3"/>
    </row>
    <row r="11" spans="1:16" x14ac:dyDescent="0.25">
      <c r="O11" s="3"/>
      <c r="P11" s="3"/>
    </row>
    <row r="12" spans="1:16" x14ac:dyDescent="0.25">
      <c r="A12" s="3"/>
      <c r="B12" s="3"/>
      <c r="O12" s="3"/>
      <c r="P12" s="3"/>
    </row>
    <row r="13" spans="1:16" x14ac:dyDescent="0.25">
      <c r="A13" s="3"/>
      <c r="B13" s="3"/>
      <c r="F13" s="3"/>
      <c r="O13" s="3"/>
      <c r="P13" s="3"/>
    </row>
    <row r="14" spans="1:16" x14ac:dyDescent="0.25">
      <c r="A14" s="3"/>
      <c r="B14" s="3"/>
      <c r="F14" s="3"/>
      <c r="O14" s="3"/>
      <c r="P14" s="3"/>
    </row>
    <row r="15" spans="1:16" x14ac:dyDescent="0.25">
      <c r="F15" s="3"/>
      <c r="O15" s="3"/>
      <c r="P15" s="3"/>
    </row>
    <row r="16" spans="1:16" x14ac:dyDescent="0.25">
      <c r="F16" s="3"/>
    </row>
    <row r="17" spans="1:6" x14ac:dyDescent="0.25">
      <c r="F17" s="3"/>
    </row>
    <row r="18" spans="1:6" x14ac:dyDescent="0.25">
      <c r="F18" s="3"/>
    </row>
    <row r="19" spans="1:6" x14ac:dyDescent="0.25">
      <c r="D19" s="3"/>
      <c r="E19" s="3"/>
    </row>
    <row r="20" spans="1:6" x14ac:dyDescent="0.25">
      <c r="A20" s="3"/>
      <c r="B20" s="3"/>
      <c r="D20" s="3"/>
      <c r="E20" s="3"/>
    </row>
    <row r="21" spans="1:6" x14ac:dyDescent="0.25">
      <c r="A21" s="3"/>
      <c r="B21" s="3"/>
    </row>
    <row r="22" spans="1:6" x14ac:dyDescent="0.25">
      <c r="A22" s="3"/>
      <c r="B22" s="3"/>
    </row>
    <row r="23" spans="1:6" x14ac:dyDescent="0.25">
      <c r="A23" s="3"/>
      <c r="B23" s="3"/>
    </row>
    <row r="24" spans="1:6" x14ac:dyDescent="0.25">
      <c r="A24" s="3"/>
      <c r="B24" s="3"/>
    </row>
    <row r="25" spans="1:6" x14ac:dyDescent="0.25">
      <c r="A25" s="3"/>
      <c r="B25" s="3"/>
    </row>
    <row r="26" spans="1:6" x14ac:dyDescent="0.25">
      <c r="A26" s="3"/>
      <c r="B26" s="3"/>
    </row>
    <row r="27" spans="1:6" x14ac:dyDescent="0.25">
      <c r="A27" s="3"/>
      <c r="B27" s="3"/>
    </row>
    <row r="28" spans="1:6" x14ac:dyDescent="0.25">
      <c r="A28" s="3"/>
      <c r="B28" s="3"/>
    </row>
    <row r="29" spans="1:6" x14ac:dyDescent="0.25">
      <c r="A29" s="3"/>
      <c r="B29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2E47A1AC54241BB3E4CBBC82C3048" ma:contentTypeVersion="14" ma:contentTypeDescription="Crée un document." ma:contentTypeScope="" ma:versionID="f25a74287a75a000e57f6ee918089aee">
  <xsd:schema xmlns:xsd="http://www.w3.org/2001/XMLSchema" xmlns:xs="http://www.w3.org/2001/XMLSchema" xmlns:p="http://schemas.microsoft.com/office/2006/metadata/properties" xmlns:ns2="8e69097e-99ed-4513-ad70-880f445218c9" xmlns:ns3="c6639016-2524-4dfa-a8e2-ef4ded2c1662" targetNamespace="http://schemas.microsoft.com/office/2006/metadata/properties" ma:root="true" ma:fieldsID="91b700a7b77dc3b63b9c2395ff39da5d" ns2:_="" ns3:_="">
    <xsd:import namespace="8e69097e-99ed-4513-ad70-880f445218c9"/>
    <xsd:import namespace="c6639016-2524-4dfa-a8e2-ef4ded2c16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69097e-99ed-4513-ad70-880f445218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af9b8fe4-599e-462f-b08c-fee6fce5c5b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639016-2524-4dfa-a8e2-ef4ded2c166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318de237-4d13-4054-8b11-33c7ed0f001e}" ma:internalName="TaxCatchAll" ma:showField="CatchAllData" ma:web="c6639016-2524-4dfa-a8e2-ef4ded2c166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AD05D44-9713-475B-824C-F4798ADD4CE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D1F3291-7EF2-4AF3-98BC-32C0E1C9D4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69097e-99ed-4513-ad70-880f445218c9"/>
    <ds:schemaRef ds:uri="c6639016-2524-4dfa-a8e2-ef4ded2c16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20</vt:i4>
      </vt:variant>
    </vt:vector>
  </HeadingPairs>
  <TitlesOfParts>
    <vt:vector size="20" baseType="lpstr">
      <vt:lpstr>Table des Matières</vt:lpstr>
      <vt:lpstr>Lien carto</vt:lpstr>
      <vt:lpstr>Lez Amont-231121-LEZ-01 (1)</vt:lpstr>
      <vt:lpstr>Lez Amont-231121-LEZ-01-B (2)</vt:lpstr>
      <vt:lpstr>Lez Amont-231211-LEZ-08 (13)</vt:lpstr>
      <vt:lpstr>Lez Amont-231211-LEZ-08-B (14)</vt:lpstr>
      <vt:lpstr>Tanneries-231128-LEZ-02 (3)</vt:lpstr>
      <vt:lpstr>Tanneries-231206-LEZ-06 (7)</vt:lpstr>
      <vt:lpstr>Tanneries-231206-LEZ-06-Bis (8)</vt:lpstr>
      <vt:lpstr>Tanneries-231206-LEZ-06-Ter (9)</vt:lpstr>
      <vt:lpstr>Lavalette-231129-LEZ-03 (4)</vt:lpstr>
      <vt:lpstr>Clinique-231130-LEZ-04 (5)</vt:lpstr>
      <vt:lpstr>Clinique-231207-LEZ-07 (10) </vt:lpstr>
      <vt:lpstr>Clinique-231207-LEZ-07-Bis (11)</vt:lpstr>
      <vt:lpstr>Clinique-231207-LEZ-07-Ter (12)</vt:lpstr>
      <vt:lpstr>HdR-231201-LEZ-05 (6)</vt:lpstr>
      <vt:lpstr>HdR-231214-LEZ-09 (15)</vt:lpstr>
      <vt:lpstr>Lez Aval-231228-LEZ-11 (17)</vt:lpstr>
      <vt:lpstr>Lez Aval-231228-LEZ-11-B (18)</vt:lpstr>
      <vt:lpstr>Lirou-231221-LIROU-10 (16)</vt:lpstr>
    </vt:vector>
  </TitlesOfParts>
  <Manager/>
  <Company>Mairie de Montpellier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RAULET,Yann</dc:creator>
  <cp:keywords/>
  <dc:description/>
  <cp:lastModifiedBy>RAULET,Yann</cp:lastModifiedBy>
  <cp:revision/>
  <cp:lastPrinted>2024-05-22T07:17:51Z</cp:lastPrinted>
  <dcterms:created xsi:type="dcterms:W3CDTF">2023-09-26T07:20:34Z</dcterms:created>
  <dcterms:modified xsi:type="dcterms:W3CDTF">2024-05-22T07:35:22Z</dcterms:modified>
  <cp:category/>
  <cp:contentStatus/>
</cp:coreProperties>
</file>